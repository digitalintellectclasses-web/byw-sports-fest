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c6045945517f497/Documents/Desktop/BYW/"/>
    </mc:Choice>
  </mc:AlternateContent>
  <xr:revisionPtr revIDLastSave="0" documentId="8_{24046A71-2E4D-496E-806D-DB1EF3B264D0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START HERE" sheetId="1" r:id="rId1"/>
    <sheet name="Dashboard" sheetId="2" r:id="rId2"/>
    <sheet name="Team Rosters" sheetId="3" r:id="rId3"/>
    <sheet name="Match Results" sheetId="4" r:id="rId4"/>
    <sheet name="Player Usage" sheetId="5" r:id="rId5"/>
    <sheet name="Schedule" sheetId="6" r:id="rId6"/>
    <sheet name="Qualifiers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5" i="7" l="1"/>
  <c r="F115" i="7" s="1"/>
  <c r="E111" i="7"/>
  <c r="F111" i="7" s="1"/>
  <c r="E107" i="7"/>
  <c r="F107" i="7" s="1"/>
  <c r="E103" i="7"/>
  <c r="F103" i="7" s="1"/>
  <c r="E99" i="7"/>
  <c r="F99" i="7" s="1"/>
  <c r="E95" i="7"/>
  <c r="F95" i="7" s="1"/>
  <c r="E91" i="7"/>
  <c r="F91" i="7" s="1"/>
  <c r="E87" i="7"/>
  <c r="F87" i="7" s="1"/>
  <c r="E83" i="7"/>
  <c r="F83" i="7" s="1"/>
  <c r="E79" i="7"/>
  <c r="F79" i="7" s="1"/>
  <c r="E75" i="7"/>
  <c r="F75" i="7" s="1"/>
  <c r="E71" i="7"/>
  <c r="F71" i="7" s="1"/>
  <c r="E67" i="7"/>
  <c r="F67" i="7" s="1"/>
  <c r="E59" i="7"/>
  <c r="F59" i="7" s="1"/>
  <c r="E55" i="7"/>
  <c r="F55" i="7" s="1"/>
  <c r="E51" i="7"/>
  <c r="F51" i="7" s="1"/>
  <c r="E47" i="7"/>
  <c r="F47" i="7" s="1"/>
  <c r="E43" i="7"/>
  <c r="F43" i="7" s="1"/>
  <c r="E39" i="7"/>
  <c r="F39" i="7" s="1"/>
  <c r="E35" i="7"/>
  <c r="F35" i="7" s="1"/>
  <c r="E31" i="7"/>
  <c r="F31" i="7" s="1"/>
  <c r="E27" i="7"/>
  <c r="F27" i="7" s="1"/>
  <c r="N875" i="5"/>
  <c r="O875" i="5" s="1"/>
  <c r="L875" i="5"/>
  <c r="M875" i="5" s="1"/>
  <c r="K875" i="5"/>
  <c r="N874" i="5"/>
  <c r="O874" i="5" s="1"/>
  <c r="L874" i="5"/>
  <c r="M874" i="5" s="1"/>
  <c r="K874" i="5"/>
  <c r="N873" i="5"/>
  <c r="O873" i="5" s="1"/>
  <c r="L873" i="5"/>
  <c r="M873" i="5" s="1"/>
  <c r="K873" i="5"/>
  <c r="N872" i="5"/>
  <c r="O872" i="5" s="1"/>
  <c r="L872" i="5"/>
  <c r="M872" i="5" s="1"/>
  <c r="K872" i="5"/>
  <c r="N871" i="5"/>
  <c r="O871" i="5" s="1"/>
  <c r="L871" i="5"/>
  <c r="M871" i="5" s="1"/>
  <c r="K871" i="5"/>
  <c r="N870" i="5"/>
  <c r="O870" i="5" s="1"/>
  <c r="L870" i="5"/>
  <c r="M870" i="5" s="1"/>
  <c r="K870" i="5"/>
  <c r="N869" i="5"/>
  <c r="O869" i="5" s="1"/>
  <c r="L869" i="5"/>
  <c r="M869" i="5" s="1"/>
  <c r="K869" i="5"/>
  <c r="N868" i="5"/>
  <c r="O868" i="5" s="1"/>
  <c r="L868" i="5"/>
  <c r="M868" i="5" s="1"/>
  <c r="K868" i="5"/>
  <c r="N867" i="5"/>
  <c r="O867" i="5" s="1"/>
  <c r="L867" i="5"/>
  <c r="M867" i="5" s="1"/>
  <c r="K867" i="5"/>
  <c r="N866" i="5"/>
  <c r="O866" i="5" s="1"/>
  <c r="L866" i="5"/>
  <c r="M866" i="5" s="1"/>
  <c r="K866" i="5"/>
  <c r="N865" i="5"/>
  <c r="O865" i="5" s="1"/>
  <c r="L865" i="5"/>
  <c r="M865" i="5" s="1"/>
  <c r="K865" i="5"/>
  <c r="N864" i="5"/>
  <c r="O864" i="5" s="1"/>
  <c r="L864" i="5"/>
  <c r="M864" i="5" s="1"/>
  <c r="K864" i="5"/>
  <c r="N863" i="5"/>
  <c r="O863" i="5" s="1"/>
  <c r="L863" i="5"/>
  <c r="M863" i="5" s="1"/>
  <c r="K863" i="5"/>
  <c r="N862" i="5"/>
  <c r="O862" i="5" s="1"/>
  <c r="L862" i="5"/>
  <c r="M862" i="5" s="1"/>
  <c r="K862" i="5"/>
  <c r="N861" i="5"/>
  <c r="O861" i="5" s="1"/>
  <c r="L861" i="5"/>
  <c r="M861" i="5" s="1"/>
  <c r="K861" i="5"/>
  <c r="N860" i="5"/>
  <c r="O860" i="5" s="1"/>
  <c r="L860" i="5"/>
  <c r="M860" i="5" s="1"/>
  <c r="K860" i="5"/>
  <c r="N859" i="5"/>
  <c r="O859" i="5" s="1"/>
  <c r="L859" i="5"/>
  <c r="M859" i="5" s="1"/>
  <c r="K859" i="5"/>
  <c r="N858" i="5"/>
  <c r="O858" i="5" s="1"/>
  <c r="L858" i="5"/>
  <c r="M858" i="5" s="1"/>
  <c r="K858" i="5"/>
  <c r="N857" i="5"/>
  <c r="O857" i="5" s="1"/>
  <c r="L857" i="5"/>
  <c r="M857" i="5" s="1"/>
  <c r="K857" i="5"/>
  <c r="N856" i="5"/>
  <c r="O856" i="5" s="1"/>
  <c r="L856" i="5"/>
  <c r="M856" i="5" s="1"/>
  <c r="K856" i="5"/>
  <c r="N855" i="5"/>
  <c r="O855" i="5" s="1"/>
  <c r="L855" i="5"/>
  <c r="M855" i="5" s="1"/>
  <c r="K855" i="5"/>
  <c r="N854" i="5"/>
  <c r="O854" i="5" s="1"/>
  <c r="L854" i="5"/>
  <c r="M854" i="5" s="1"/>
  <c r="K854" i="5"/>
  <c r="N853" i="5"/>
  <c r="O853" i="5" s="1"/>
  <c r="L853" i="5"/>
  <c r="M853" i="5" s="1"/>
  <c r="K853" i="5"/>
  <c r="N852" i="5"/>
  <c r="O852" i="5" s="1"/>
  <c r="L852" i="5"/>
  <c r="M852" i="5" s="1"/>
  <c r="K852" i="5"/>
  <c r="N851" i="5"/>
  <c r="O851" i="5" s="1"/>
  <c r="L851" i="5"/>
  <c r="M851" i="5" s="1"/>
  <c r="K851" i="5"/>
  <c r="N850" i="5"/>
  <c r="O850" i="5" s="1"/>
  <c r="L850" i="5"/>
  <c r="M850" i="5" s="1"/>
  <c r="K850" i="5"/>
  <c r="N849" i="5"/>
  <c r="O849" i="5" s="1"/>
  <c r="L849" i="5"/>
  <c r="M849" i="5" s="1"/>
  <c r="K849" i="5"/>
  <c r="N848" i="5"/>
  <c r="O848" i="5" s="1"/>
  <c r="L848" i="5"/>
  <c r="M848" i="5" s="1"/>
  <c r="K848" i="5"/>
  <c r="N847" i="5"/>
  <c r="O847" i="5" s="1"/>
  <c r="L847" i="5"/>
  <c r="M847" i="5" s="1"/>
  <c r="K847" i="5"/>
  <c r="N846" i="5"/>
  <c r="O846" i="5" s="1"/>
  <c r="L846" i="5"/>
  <c r="M846" i="5" s="1"/>
  <c r="K846" i="5"/>
  <c r="N845" i="5"/>
  <c r="O845" i="5" s="1"/>
  <c r="L845" i="5"/>
  <c r="M845" i="5" s="1"/>
  <c r="K845" i="5"/>
  <c r="N844" i="5"/>
  <c r="O844" i="5" s="1"/>
  <c r="L844" i="5"/>
  <c r="M844" i="5" s="1"/>
  <c r="K844" i="5"/>
  <c r="N843" i="5"/>
  <c r="O843" i="5" s="1"/>
  <c r="L843" i="5"/>
  <c r="M843" i="5" s="1"/>
  <c r="K843" i="5"/>
  <c r="N842" i="5"/>
  <c r="O842" i="5" s="1"/>
  <c r="L842" i="5"/>
  <c r="M842" i="5" s="1"/>
  <c r="K842" i="5"/>
  <c r="N841" i="5"/>
  <c r="O841" i="5" s="1"/>
  <c r="L841" i="5"/>
  <c r="M841" i="5" s="1"/>
  <c r="K841" i="5"/>
  <c r="N840" i="5"/>
  <c r="O840" i="5" s="1"/>
  <c r="L840" i="5"/>
  <c r="M840" i="5" s="1"/>
  <c r="K840" i="5"/>
  <c r="N839" i="5"/>
  <c r="O839" i="5" s="1"/>
  <c r="L839" i="5"/>
  <c r="M839" i="5" s="1"/>
  <c r="K839" i="5"/>
  <c r="N838" i="5"/>
  <c r="O838" i="5" s="1"/>
  <c r="L838" i="5"/>
  <c r="M838" i="5" s="1"/>
  <c r="K838" i="5"/>
  <c r="N837" i="5"/>
  <c r="O837" i="5" s="1"/>
  <c r="L837" i="5"/>
  <c r="M837" i="5" s="1"/>
  <c r="K837" i="5"/>
  <c r="N836" i="5"/>
  <c r="O836" i="5" s="1"/>
  <c r="L836" i="5"/>
  <c r="M836" i="5" s="1"/>
  <c r="K836" i="5"/>
  <c r="N835" i="5"/>
  <c r="O835" i="5" s="1"/>
  <c r="L835" i="5"/>
  <c r="M835" i="5" s="1"/>
  <c r="K835" i="5"/>
  <c r="N834" i="5"/>
  <c r="O834" i="5" s="1"/>
  <c r="L834" i="5"/>
  <c r="M834" i="5" s="1"/>
  <c r="K834" i="5"/>
  <c r="N833" i="5"/>
  <c r="O833" i="5" s="1"/>
  <c r="L833" i="5"/>
  <c r="M833" i="5" s="1"/>
  <c r="K833" i="5"/>
  <c r="N832" i="5"/>
  <c r="O832" i="5" s="1"/>
  <c r="L832" i="5"/>
  <c r="M832" i="5" s="1"/>
  <c r="K832" i="5"/>
  <c r="N831" i="5"/>
  <c r="O831" i="5" s="1"/>
  <c r="L831" i="5"/>
  <c r="M831" i="5" s="1"/>
  <c r="K831" i="5"/>
  <c r="N830" i="5"/>
  <c r="O830" i="5" s="1"/>
  <c r="L830" i="5"/>
  <c r="M830" i="5" s="1"/>
  <c r="K830" i="5"/>
  <c r="N829" i="5"/>
  <c r="O829" i="5" s="1"/>
  <c r="L829" i="5"/>
  <c r="M829" i="5" s="1"/>
  <c r="K829" i="5"/>
  <c r="N828" i="5"/>
  <c r="O828" i="5" s="1"/>
  <c r="L828" i="5"/>
  <c r="M828" i="5" s="1"/>
  <c r="K828" i="5"/>
  <c r="N827" i="5"/>
  <c r="O827" i="5" s="1"/>
  <c r="L827" i="5"/>
  <c r="M827" i="5" s="1"/>
  <c r="K827" i="5"/>
  <c r="N826" i="5"/>
  <c r="O826" i="5" s="1"/>
  <c r="L826" i="5"/>
  <c r="M826" i="5" s="1"/>
  <c r="K826" i="5"/>
  <c r="N825" i="5"/>
  <c r="O825" i="5" s="1"/>
  <c r="L825" i="5"/>
  <c r="M825" i="5" s="1"/>
  <c r="K825" i="5"/>
  <c r="N824" i="5"/>
  <c r="O824" i="5" s="1"/>
  <c r="L824" i="5"/>
  <c r="M824" i="5" s="1"/>
  <c r="K824" i="5"/>
  <c r="N823" i="5"/>
  <c r="O823" i="5" s="1"/>
  <c r="L823" i="5"/>
  <c r="M823" i="5" s="1"/>
  <c r="K823" i="5"/>
  <c r="N822" i="5"/>
  <c r="O822" i="5" s="1"/>
  <c r="L822" i="5"/>
  <c r="M822" i="5" s="1"/>
  <c r="K822" i="5"/>
  <c r="N821" i="5"/>
  <c r="O821" i="5" s="1"/>
  <c r="L821" i="5"/>
  <c r="M821" i="5" s="1"/>
  <c r="K821" i="5"/>
  <c r="N820" i="5"/>
  <c r="O820" i="5" s="1"/>
  <c r="L820" i="5"/>
  <c r="M820" i="5" s="1"/>
  <c r="K820" i="5"/>
  <c r="N819" i="5"/>
  <c r="O819" i="5" s="1"/>
  <c r="L819" i="5"/>
  <c r="M819" i="5" s="1"/>
  <c r="K819" i="5"/>
  <c r="N818" i="5"/>
  <c r="O818" i="5" s="1"/>
  <c r="L818" i="5"/>
  <c r="M818" i="5" s="1"/>
  <c r="K818" i="5"/>
  <c r="N817" i="5"/>
  <c r="O817" i="5" s="1"/>
  <c r="L817" i="5"/>
  <c r="M817" i="5" s="1"/>
  <c r="K817" i="5"/>
  <c r="N816" i="5"/>
  <c r="O816" i="5" s="1"/>
  <c r="L816" i="5"/>
  <c r="M816" i="5" s="1"/>
  <c r="K816" i="5"/>
  <c r="N815" i="5"/>
  <c r="O815" i="5" s="1"/>
  <c r="L815" i="5"/>
  <c r="M815" i="5" s="1"/>
  <c r="K815" i="5"/>
  <c r="N814" i="5"/>
  <c r="O814" i="5" s="1"/>
  <c r="L814" i="5"/>
  <c r="M814" i="5" s="1"/>
  <c r="K814" i="5"/>
  <c r="N813" i="5"/>
  <c r="O813" i="5" s="1"/>
  <c r="L813" i="5"/>
  <c r="M813" i="5" s="1"/>
  <c r="K813" i="5"/>
  <c r="N812" i="5"/>
  <c r="O812" i="5" s="1"/>
  <c r="L812" i="5"/>
  <c r="M812" i="5" s="1"/>
  <c r="K812" i="5"/>
  <c r="N811" i="5"/>
  <c r="O811" i="5" s="1"/>
  <c r="L811" i="5"/>
  <c r="M811" i="5" s="1"/>
  <c r="K811" i="5"/>
  <c r="N810" i="5"/>
  <c r="O810" i="5" s="1"/>
  <c r="L810" i="5"/>
  <c r="M810" i="5" s="1"/>
  <c r="K810" i="5"/>
  <c r="N809" i="5"/>
  <c r="O809" i="5" s="1"/>
  <c r="L809" i="5"/>
  <c r="M809" i="5" s="1"/>
  <c r="K809" i="5"/>
  <c r="N808" i="5"/>
  <c r="O808" i="5" s="1"/>
  <c r="L808" i="5"/>
  <c r="M808" i="5" s="1"/>
  <c r="K808" i="5"/>
  <c r="N807" i="5"/>
  <c r="O807" i="5" s="1"/>
  <c r="L807" i="5"/>
  <c r="M807" i="5" s="1"/>
  <c r="K807" i="5"/>
  <c r="N806" i="5"/>
  <c r="O806" i="5" s="1"/>
  <c r="L806" i="5"/>
  <c r="M806" i="5" s="1"/>
  <c r="K806" i="5"/>
  <c r="N805" i="5"/>
  <c r="O805" i="5" s="1"/>
  <c r="L805" i="5"/>
  <c r="M805" i="5" s="1"/>
  <c r="K805" i="5"/>
  <c r="N804" i="5"/>
  <c r="O804" i="5" s="1"/>
  <c r="L804" i="5"/>
  <c r="M804" i="5" s="1"/>
  <c r="K804" i="5"/>
  <c r="N803" i="5"/>
  <c r="O803" i="5" s="1"/>
  <c r="L803" i="5"/>
  <c r="M803" i="5" s="1"/>
  <c r="K803" i="5"/>
  <c r="N802" i="5"/>
  <c r="O802" i="5" s="1"/>
  <c r="L802" i="5"/>
  <c r="M802" i="5" s="1"/>
  <c r="K802" i="5"/>
  <c r="N801" i="5"/>
  <c r="O801" i="5" s="1"/>
  <c r="L801" i="5"/>
  <c r="M801" i="5" s="1"/>
  <c r="K801" i="5"/>
  <c r="N800" i="5"/>
  <c r="O800" i="5" s="1"/>
  <c r="L800" i="5"/>
  <c r="M800" i="5" s="1"/>
  <c r="K800" i="5"/>
  <c r="N799" i="5"/>
  <c r="O799" i="5" s="1"/>
  <c r="L799" i="5"/>
  <c r="M799" i="5" s="1"/>
  <c r="K799" i="5"/>
  <c r="N798" i="5"/>
  <c r="O798" i="5" s="1"/>
  <c r="L798" i="5"/>
  <c r="M798" i="5" s="1"/>
  <c r="K798" i="5"/>
  <c r="N797" i="5"/>
  <c r="O797" i="5" s="1"/>
  <c r="L797" i="5"/>
  <c r="M797" i="5" s="1"/>
  <c r="K797" i="5"/>
  <c r="N796" i="5"/>
  <c r="O796" i="5" s="1"/>
  <c r="L796" i="5"/>
  <c r="M796" i="5" s="1"/>
  <c r="K796" i="5"/>
  <c r="N795" i="5"/>
  <c r="O795" i="5" s="1"/>
  <c r="L795" i="5"/>
  <c r="M795" i="5" s="1"/>
  <c r="K795" i="5"/>
  <c r="N794" i="5"/>
  <c r="O794" i="5" s="1"/>
  <c r="L794" i="5"/>
  <c r="M794" i="5" s="1"/>
  <c r="K794" i="5"/>
  <c r="N793" i="5"/>
  <c r="O793" i="5" s="1"/>
  <c r="L793" i="5"/>
  <c r="M793" i="5" s="1"/>
  <c r="K793" i="5"/>
  <c r="N792" i="5"/>
  <c r="O792" i="5" s="1"/>
  <c r="L792" i="5"/>
  <c r="M792" i="5" s="1"/>
  <c r="K792" i="5"/>
  <c r="N791" i="5"/>
  <c r="O791" i="5" s="1"/>
  <c r="L791" i="5"/>
  <c r="M791" i="5" s="1"/>
  <c r="K791" i="5"/>
  <c r="N790" i="5"/>
  <c r="O790" i="5" s="1"/>
  <c r="L790" i="5"/>
  <c r="M790" i="5" s="1"/>
  <c r="K790" i="5"/>
  <c r="N789" i="5"/>
  <c r="O789" i="5" s="1"/>
  <c r="L789" i="5"/>
  <c r="M789" i="5" s="1"/>
  <c r="K789" i="5"/>
  <c r="N788" i="5"/>
  <c r="O788" i="5" s="1"/>
  <c r="L788" i="5"/>
  <c r="M788" i="5" s="1"/>
  <c r="K788" i="5"/>
  <c r="N787" i="5"/>
  <c r="O787" i="5" s="1"/>
  <c r="L787" i="5"/>
  <c r="M787" i="5" s="1"/>
  <c r="K787" i="5"/>
  <c r="N786" i="5"/>
  <c r="O786" i="5" s="1"/>
  <c r="L786" i="5"/>
  <c r="M786" i="5" s="1"/>
  <c r="K786" i="5"/>
  <c r="N785" i="5"/>
  <c r="O785" i="5" s="1"/>
  <c r="L785" i="5"/>
  <c r="M785" i="5" s="1"/>
  <c r="K785" i="5"/>
  <c r="N784" i="5"/>
  <c r="O784" i="5" s="1"/>
  <c r="L784" i="5"/>
  <c r="M784" i="5" s="1"/>
  <c r="K784" i="5"/>
  <c r="N783" i="5"/>
  <c r="O783" i="5" s="1"/>
  <c r="L783" i="5"/>
  <c r="M783" i="5" s="1"/>
  <c r="K783" i="5"/>
  <c r="N782" i="5"/>
  <c r="O782" i="5" s="1"/>
  <c r="L782" i="5"/>
  <c r="M782" i="5" s="1"/>
  <c r="K782" i="5"/>
  <c r="N781" i="5"/>
  <c r="O781" i="5" s="1"/>
  <c r="L781" i="5"/>
  <c r="M781" i="5" s="1"/>
  <c r="K781" i="5"/>
  <c r="N780" i="5"/>
  <c r="O780" i="5" s="1"/>
  <c r="L780" i="5"/>
  <c r="M780" i="5" s="1"/>
  <c r="K780" i="5"/>
  <c r="N779" i="5"/>
  <c r="O779" i="5" s="1"/>
  <c r="L779" i="5"/>
  <c r="M779" i="5" s="1"/>
  <c r="K779" i="5"/>
  <c r="N778" i="5"/>
  <c r="O778" i="5" s="1"/>
  <c r="L778" i="5"/>
  <c r="M778" i="5" s="1"/>
  <c r="K778" i="5"/>
  <c r="N777" i="5"/>
  <c r="O777" i="5" s="1"/>
  <c r="L777" i="5"/>
  <c r="M777" i="5" s="1"/>
  <c r="K777" i="5"/>
  <c r="N776" i="5"/>
  <c r="O776" i="5" s="1"/>
  <c r="L776" i="5"/>
  <c r="M776" i="5" s="1"/>
  <c r="K776" i="5"/>
  <c r="N775" i="5"/>
  <c r="O775" i="5" s="1"/>
  <c r="L775" i="5"/>
  <c r="M775" i="5" s="1"/>
  <c r="K775" i="5"/>
  <c r="N774" i="5"/>
  <c r="O774" i="5" s="1"/>
  <c r="L774" i="5"/>
  <c r="M774" i="5" s="1"/>
  <c r="K774" i="5"/>
  <c r="N773" i="5"/>
  <c r="O773" i="5" s="1"/>
  <c r="L773" i="5"/>
  <c r="M773" i="5" s="1"/>
  <c r="K773" i="5"/>
  <c r="N772" i="5"/>
  <c r="O772" i="5" s="1"/>
  <c r="L772" i="5"/>
  <c r="M772" i="5" s="1"/>
  <c r="K772" i="5"/>
  <c r="N771" i="5"/>
  <c r="O771" i="5" s="1"/>
  <c r="L771" i="5"/>
  <c r="M771" i="5" s="1"/>
  <c r="K771" i="5"/>
  <c r="N770" i="5"/>
  <c r="O770" i="5" s="1"/>
  <c r="L770" i="5"/>
  <c r="M770" i="5" s="1"/>
  <c r="K770" i="5"/>
  <c r="N769" i="5"/>
  <c r="O769" i="5" s="1"/>
  <c r="L769" i="5"/>
  <c r="M769" i="5" s="1"/>
  <c r="K769" i="5"/>
  <c r="N768" i="5"/>
  <c r="O768" i="5" s="1"/>
  <c r="L768" i="5"/>
  <c r="M768" i="5" s="1"/>
  <c r="K768" i="5"/>
  <c r="N767" i="5"/>
  <c r="O767" i="5" s="1"/>
  <c r="L767" i="5"/>
  <c r="M767" i="5" s="1"/>
  <c r="K767" i="5"/>
  <c r="N766" i="5"/>
  <c r="O766" i="5" s="1"/>
  <c r="L766" i="5"/>
  <c r="M766" i="5" s="1"/>
  <c r="K766" i="5"/>
  <c r="N765" i="5"/>
  <c r="O765" i="5" s="1"/>
  <c r="L765" i="5"/>
  <c r="M765" i="5" s="1"/>
  <c r="K765" i="5"/>
  <c r="N764" i="5"/>
  <c r="O764" i="5" s="1"/>
  <c r="L764" i="5"/>
  <c r="M764" i="5" s="1"/>
  <c r="K764" i="5"/>
  <c r="N763" i="5"/>
  <c r="O763" i="5" s="1"/>
  <c r="L763" i="5"/>
  <c r="M763" i="5" s="1"/>
  <c r="K763" i="5"/>
  <c r="N762" i="5"/>
  <c r="O762" i="5" s="1"/>
  <c r="L762" i="5"/>
  <c r="M762" i="5" s="1"/>
  <c r="K762" i="5"/>
  <c r="N761" i="5"/>
  <c r="O761" i="5" s="1"/>
  <c r="L761" i="5"/>
  <c r="M761" i="5" s="1"/>
  <c r="K761" i="5"/>
  <c r="N760" i="5"/>
  <c r="O760" i="5" s="1"/>
  <c r="L760" i="5"/>
  <c r="M760" i="5" s="1"/>
  <c r="K760" i="5"/>
  <c r="N759" i="5"/>
  <c r="O759" i="5" s="1"/>
  <c r="L759" i="5"/>
  <c r="M759" i="5" s="1"/>
  <c r="K759" i="5"/>
  <c r="N758" i="5"/>
  <c r="O758" i="5" s="1"/>
  <c r="L758" i="5"/>
  <c r="M758" i="5" s="1"/>
  <c r="K758" i="5"/>
  <c r="N757" i="5"/>
  <c r="O757" i="5" s="1"/>
  <c r="L757" i="5"/>
  <c r="M757" i="5" s="1"/>
  <c r="K757" i="5"/>
  <c r="N756" i="5"/>
  <c r="O756" i="5" s="1"/>
  <c r="L756" i="5"/>
  <c r="M756" i="5" s="1"/>
  <c r="K756" i="5"/>
  <c r="N755" i="5"/>
  <c r="O755" i="5" s="1"/>
  <c r="L755" i="5"/>
  <c r="M755" i="5" s="1"/>
  <c r="K755" i="5"/>
  <c r="N754" i="5"/>
  <c r="O754" i="5" s="1"/>
  <c r="L754" i="5"/>
  <c r="M754" i="5" s="1"/>
  <c r="K754" i="5"/>
  <c r="N753" i="5"/>
  <c r="O753" i="5" s="1"/>
  <c r="L753" i="5"/>
  <c r="M753" i="5" s="1"/>
  <c r="K753" i="5"/>
  <c r="N752" i="5"/>
  <c r="O752" i="5" s="1"/>
  <c r="L752" i="5"/>
  <c r="M752" i="5" s="1"/>
  <c r="K752" i="5"/>
  <c r="N751" i="5"/>
  <c r="O751" i="5" s="1"/>
  <c r="L751" i="5"/>
  <c r="M751" i="5" s="1"/>
  <c r="K751" i="5"/>
  <c r="N750" i="5"/>
  <c r="O750" i="5" s="1"/>
  <c r="L750" i="5"/>
  <c r="M750" i="5" s="1"/>
  <c r="K750" i="5"/>
  <c r="N749" i="5"/>
  <c r="O749" i="5" s="1"/>
  <c r="L749" i="5"/>
  <c r="M749" i="5" s="1"/>
  <c r="K749" i="5"/>
  <c r="N748" i="5"/>
  <c r="O748" i="5" s="1"/>
  <c r="L748" i="5"/>
  <c r="M748" i="5" s="1"/>
  <c r="K748" i="5"/>
  <c r="N747" i="5"/>
  <c r="O747" i="5" s="1"/>
  <c r="L747" i="5"/>
  <c r="M747" i="5" s="1"/>
  <c r="K747" i="5"/>
  <c r="N746" i="5"/>
  <c r="O746" i="5" s="1"/>
  <c r="L746" i="5"/>
  <c r="M746" i="5" s="1"/>
  <c r="K746" i="5"/>
  <c r="K745" i="5"/>
  <c r="L745" i="5" s="1"/>
  <c r="K744" i="5"/>
  <c r="L744" i="5" s="1"/>
  <c r="N743" i="5"/>
  <c r="O743" i="5" s="1"/>
  <c r="L743" i="5"/>
  <c r="M743" i="5" s="1"/>
  <c r="K743" i="5"/>
  <c r="N742" i="5"/>
  <c r="O742" i="5" s="1"/>
  <c r="L742" i="5"/>
  <c r="M742" i="5" s="1"/>
  <c r="K742" i="5"/>
  <c r="N741" i="5"/>
  <c r="O741" i="5" s="1"/>
  <c r="L741" i="5"/>
  <c r="M741" i="5" s="1"/>
  <c r="K741" i="5"/>
  <c r="N740" i="5"/>
  <c r="O740" i="5" s="1"/>
  <c r="L740" i="5"/>
  <c r="M740" i="5" s="1"/>
  <c r="K740" i="5"/>
  <c r="N739" i="5"/>
  <c r="O739" i="5" s="1"/>
  <c r="L739" i="5"/>
  <c r="M739" i="5" s="1"/>
  <c r="K739" i="5"/>
  <c r="N738" i="5"/>
  <c r="O738" i="5" s="1"/>
  <c r="L738" i="5"/>
  <c r="M738" i="5" s="1"/>
  <c r="K738" i="5"/>
  <c r="N737" i="5"/>
  <c r="O737" i="5" s="1"/>
  <c r="L737" i="5"/>
  <c r="M737" i="5" s="1"/>
  <c r="K737" i="5"/>
  <c r="N736" i="5"/>
  <c r="O736" i="5" s="1"/>
  <c r="L736" i="5"/>
  <c r="M736" i="5" s="1"/>
  <c r="K736" i="5"/>
  <c r="N735" i="5"/>
  <c r="O735" i="5" s="1"/>
  <c r="L735" i="5"/>
  <c r="M735" i="5" s="1"/>
  <c r="K735" i="5"/>
  <c r="N734" i="5"/>
  <c r="O734" i="5" s="1"/>
  <c r="L734" i="5"/>
  <c r="M734" i="5" s="1"/>
  <c r="K734" i="5"/>
  <c r="N733" i="5"/>
  <c r="O733" i="5" s="1"/>
  <c r="L733" i="5"/>
  <c r="M733" i="5" s="1"/>
  <c r="K733" i="5"/>
  <c r="N732" i="5"/>
  <c r="O732" i="5" s="1"/>
  <c r="L732" i="5"/>
  <c r="M732" i="5" s="1"/>
  <c r="K732" i="5"/>
  <c r="N731" i="5"/>
  <c r="O731" i="5" s="1"/>
  <c r="L731" i="5"/>
  <c r="M731" i="5" s="1"/>
  <c r="K731" i="5"/>
  <c r="N730" i="5"/>
  <c r="O730" i="5" s="1"/>
  <c r="L730" i="5"/>
  <c r="M730" i="5" s="1"/>
  <c r="K730" i="5"/>
  <c r="N729" i="5"/>
  <c r="O729" i="5" s="1"/>
  <c r="L729" i="5"/>
  <c r="M729" i="5" s="1"/>
  <c r="K729" i="5"/>
  <c r="N728" i="5"/>
  <c r="O728" i="5" s="1"/>
  <c r="L728" i="5"/>
  <c r="M728" i="5" s="1"/>
  <c r="K728" i="5"/>
  <c r="N727" i="5"/>
  <c r="O727" i="5" s="1"/>
  <c r="L727" i="5"/>
  <c r="M727" i="5" s="1"/>
  <c r="K727" i="5"/>
  <c r="N726" i="5"/>
  <c r="O726" i="5" s="1"/>
  <c r="L726" i="5"/>
  <c r="M726" i="5" s="1"/>
  <c r="K726" i="5"/>
  <c r="N725" i="5"/>
  <c r="O725" i="5" s="1"/>
  <c r="L725" i="5"/>
  <c r="M725" i="5" s="1"/>
  <c r="K725" i="5"/>
  <c r="N724" i="5"/>
  <c r="O724" i="5" s="1"/>
  <c r="L724" i="5"/>
  <c r="M724" i="5" s="1"/>
  <c r="K724" i="5"/>
  <c r="N723" i="5"/>
  <c r="O723" i="5" s="1"/>
  <c r="L723" i="5"/>
  <c r="M723" i="5" s="1"/>
  <c r="K723" i="5"/>
  <c r="N722" i="5"/>
  <c r="O722" i="5" s="1"/>
  <c r="L722" i="5"/>
  <c r="M722" i="5" s="1"/>
  <c r="K722" i="5"/>
  <c r="N721" i="5"/>
  <c r="O721" i="5" s="1"/>
  <c r="L721" i="5"/>
  <c r="M721" i="5" s="1"/>
  <c r="K721" i="5"/>
  <c r="N720" i="5"/>
  <c r="O720" i="5" s="1"/>
  <c r="L720" i="5"/>
  <c r="M720" i="5" s="1"/>
  <c r="K720" i="5"/>
  <c r="N719" i="5"/>
  <c r="O719" i="5" s="1"/>
  <c r="L719" i="5"/>
  <c r="M719" i="5" s="1"/>
  <c r="K719" i="5"/>
  <c r="N718" i="5"/>
  <c r="O718" i="5" s="1"/>
  <c r="L718" i="5"/>
  <c r="M718" i="5" s="1"/>
  <c r="K718" i="5"/>
  <c r="N717" i="5"/>
  <c r="O717" i="5" s="1"/>
  <c r="L717" i="5"/>
  <c r="M717" i="5" s="1"/>
  <c r="K717" i="5"/>
  <c r="N716" i="5"/>
  <c r="O716" i="5" s="1"/>
  <c r="L716" i="5"/>
  <c r="M716" i="5" s="1"/>
  <c r="K716" i="5"/>
  <c r="N715" i="5"/>
  <c r="O715" i="5" s="1"/>
  <c r="L715" i="5"/>
  <c r="M715" i="5" s="1"/>
  <c r="K715" i="5"/>
  <c r="N714" i="5"/>
  <c r="O714" i="5" s="1"/>
  <c r="L714" i="5"/>
  <c r="M714" i="5" s="1"/>
  <c r="K714" i="5"/>
  <c r="K713" i="5"/>
  <c r="L713" i="5" s="1"/>
  <c r="L712" i="5"/>
  <c r="M712" i="5" s="1"/>
  <c r="K712" i="5"/>
  <c r="N711" i="5"/>
  <c r="O711" i="5" s="1"/>
  <c r="L711" i="5"/>
  <c r="M711" i="5" s="1"/>
  <c r="K711" i="5"/>
  <c r="N710" i="5"/>
  <c r="O710" i="5" s="1"/>
  <c r="L710" i="5"/>
  <c r="M710" i="5" s="1"/>
  <c r="K710" i="5"/>
  <c r="N709" i="5"/>
  <c r="O709" i="5" s="1"/>
  <c r="L709" i="5"/>
  <c r="M709" i="5" s="1"/>
  <c r="K709" i="5"/>
  <c r="N708" i="5"/>
  <c r="O708" i="5" s="1"/>
  <c r="L708" i="5"/>
  <c r="M708" i="5" s="1"/>
  <c r="K708" i="5"/>
  <c r="N707" i="5"/>
  <c r="O707" i="5" s="1"/>
  <c r="L707" i="5"/>
  <c r="M707" i="5" s="1"/>
  <c r="K707" i="5"/>
  <c r="N706" i="5"/>
  <c r="O706" i="5" s="1"/>
  <c r="L706" i="5"/>
  <c r="M706" i="5" s="1"/>
  <c r="K706" i="5"/>
  <c r="K705" i="5"/>
  <c r="L705" i="5" s="1"/>
  <c r="K704" i="5"/>
  <c r="L704" i="5" s="1"/>
  <c r="N703" i="5"/>
  <c r="O703" i="5" s="1"/>
  <c r="L703" i="5"/>
  <c r="M703" i="5" s="1"/>
  <c r="K703" i="5"/>
  <c r="K702" i="5"/>
  <c r="L702" i="5" s="1"/>
  <c r="N701" i="5"/>
  <c r="O701" i="5" s="1"/>
  <c r="L701" i="5"/>
  <c r="M701" i="5" s="1"/>
  <c r="K701" i="5"/>
  <c r="G701" i="5"/>
  <c r="F701" i="5"/>
  <c r="N700" i="5"/>
  <c r="O700" i="5" s="1"/>
  <c r="L700" i="5"/>
  <c r="M700" i="5" s="1"/>
  <c r="K700" i="5"/>
  <c r="G700" i="5"/>
  <c r="F700" i="5"/>
  <c r="N699" i="5"/>
  <c r="O699" i="5" s="1"/>
  <c r="L699" i="5"/>
  <c r="M699" i="5" s="1"/>
  <c r="K699" i="5"/>
  <c r="G699" i="5"/>
  <c r="F699" i="5"/>
  <c r="N698" i="5"/>
  <c r="O698" i="5" s="1"/>
  <c r="L698" i="5"/>
  <c r="M698" i="5" s="1"/>
  <c r="K698" i="5"/>
  <c r="G698" i="5"/>
  <c r="F698" i="5"/>
  <c r="N697" i="5"/>
  <c r="O697" i="5" s="1"/>
  <c r="L697" i="5"/>
  <c r="M697" i="5" s="1"/>
  <c r="K697" i="5"/>
  <c r="G697" i="5"/>
  <c r="F697" i="5"/>
  <c r="N696" i="5"/>
  <c r="O696" i="5" s="1"/>
  <c r="L696" i="5"/>
  <c r="M696" i="5" s="1"/>
  <c r="K696" i="5"/>
  <c r="G696" i="5"/>
  <c r="F696" i="5"/>
  <c r="N695" i="5"/>
  <c r="O695" i="5" s="1"/>
  <c r="L695" i="5"/>
  <c r="M695" i="5" s="1"/>
  <c r="K695" i="5"/>
  <c r="G695" i="5"/>
  <c r="F695" i="5"/>
  <c r="N694" i="5"/>
  <c r="O694" i="5" s="1"/>
  <c r="L694" i="5"/>
  <c r="M694" i="5" s="1"/>
  <c r="K694" i="5"/>
  <c r="G694" i="5"/>
  <c r="F694" i="5"/>
  <c r="N693" i="5"/>
  <c r="O693" i="5" s="1"/>
  <c r="L693" i="5"/>
  <c r="M693" i="5" s="1"/>
  <c r="K693" i="5"/>
  <c r="G693" i="5"/>
  <c r="F693" i="5"/>
  <c r="N692" i="5"/>
  <c r="O692" i="5" s="1"/>
  <c r="L692" i="5"/>
  <c r="M692" i="5" s="1"/>
  <c r="K692" i="5"/>
  <c r="G692" i="5"/>
  <c r="F692" i="5"/>
  <c r="N691" i="5"/>
  <c r="O691" i="5" s="1"/>
  <c r="L691" i="5"/>
  <c r="M691" i="5" s="1"/>
  <c r="K691" i="5"/>
  <c r="G691" i="5"/>
  <c r="F691" i="5"/>
  <c r="N690" i="5"/>
  <c r="O690" i="5" s="1"/>
  <c r="L690" i="5"/>
  <c r="M690" i="5" s="1"/>
  <c r="K690" i="5"/>
  <c r="G690" i="5"/>
  <c r="F690" i="5"/>
  <c r="N689" i="5"/>
  <c r="O689" i="5" s="1"/>
  <c r="L689" i="5"/>
  <c r="M689" i="5" s="1"/>
  <c r="K689" i="5"/>
  <c r="G689" i="5"/>
  <c r="F689" i="5"/>
  <c r="N688" i="5"/>
  <c r="O688" i="5" s="1"/>
  <c r="L688" i="5"/>
  <c r="M688" i="5" s="1"/>
  <c r="K688" i="5"/>
  <c r="G688" i="5"/>
  <c r="F688" i="5"/>
  <c r="N687" i="5"/>
  <c r="O687" i="5" s="1"/>
  <c r="L687" i="5"/>
  <c r="M687" i="5" s="1"/>
  <c r="K687" i="5"/>
  <c r="G687" i="5"/>
  <c r="F687" i="5"/>
  <c r="N686" i="5"/>
  <c r="O686" i="5" s="1"/>
  <c r="L686" i="5"/>
  <c r="M686" i="5" s="1"/>
  <c r="K686" i="5"/>
  <c r="G686" i="5"/>
  <c r="F686" i="5"/>
  <c r="N685" i="5"/>
  <c r="O685" i="5" s="1"/>
  <c r="L685" i="5"/>
  <c r="M685" i="5" s="1"/>
  <c r="K685" i="5"/>
  <c r="G685" i="5"/>
  <c r="F685" i="5"/>
  <c r="N684" i="5"/>
  <c r="O684" i="5" s="1"/>
  <c r="L684" i="5"/>
  <c r="M684" i="5" s="1"/>
  <c r="K684" i="5"/>
  <c r="G684" i="5"/>
  <c r="F684" i="5"/>
  <c r="N683" i="5"/>
  <c r="O683" i="5" s="1"/>
  <c r="L683" i="5"/>
  <c r="M683" i="5" s="1"/>
  <c r="K683" i="5"/>
  <c r="G683" i="5"/>
  <c r="F683" i="5"/>
  <c r="N682" i="5"/>
  <c r="O682" i="5" s="1"/>
  <c r="L682" i="5"/>
  <c r="M682" i="5" s="1"/>
  <c r="K682" i="5"/>
  <c r="G682" i="5"/>
  <c r="F682" i="5"/>
  <c r="N681" i="5"/>
  <c r="O681" i="5" s="1"/>
  <c r="L681" i="5"/>
  <c r="M681" i="5" s="1"/>
  <c r="K681" i="5"/>
  <c r="G681" i="5"/>
  <c r="F681" i="5"/>
  <c r="N680" i="5"/>
  <c r="O680" i="5" s="1"/>
  <c r="L680" i="5"/>
  <c r="M680" i="5" s="1"/>
  <c r="K680" i="5"/>
  <c r="G680" i="5"/>
  <c r="F680" i="5"/>
  <c r="N679" i="5"/>
  <c r="O679" i="5" s="1"/>
  <c r="L679" i="5"/>
  <c r="M679" i="5" s="1"/>
  <c r="K679" i="5"/>
  <c r="G679" i="5"/>
  <c r="F679" i="5"/>
  <c r="N678" i="5"/>
  <c r="O678" i="5" s="1"/>
  <c r="L678" i="5"/>
  <c r="M678" i="5" s="1"/>
  <c r="K678" i="5"/>
  <c r="G678" i="5"/>
  <c r="F678" i="5"/>
  <c r="N677" i="5"/>
  <c r="O677" i="5" s="1"/>
  <c r="L677" i="5"/>
  <c r="M677" i="5" s="1"/>
  <c r="K677" i="5"/>
  <c r="G677" i="5"/>
  <c r="F677" i="5"/>
  <c r="N676" i="5"/>
  <c r="O676" i="5" s="1"/>
  <c r="L676" i="5"/>
  <c r="M676" i="5" s="1"/>
  <c r="K676" i="5"/>
  <c r="G676" i="5"/>
  <c r="F676" i="5"/>
  <c r="N675" i="5"/>
  <c r="O675" i="5" s="1"/>
  <c r="L675" i="5"/>
  <c r="M675" i="5" s="1"/>
  <c r="K675" i="5"/>
  <c r="G675" i="5"/>
  <c r="F675" i="5"/>
  <c r="N674" i="5"/>
  <c r="O674" i="5" s="1"/>
  <c r="L674" i="5"/>
  <c r="M674" i="5" s="1"/>
  <c r="K674" i="5"/>
  <c r="G674" i="5"/>
  <c r="F674" i="5"/>
  <c r="N673" i="5"/>
  <c r="O673" i="5" s="1"/>
  <c r="L673" i="5"/>
  <c r="M673" i="5" s="1"/>
  <c r="K673" i="5"/>
  <c r="G673" i="5"/>
  <c r="F673" i="5"/>
  <c r="N672" i="5"/>
  <c r="O672" i="5" s="1"/>
  <c r="L672" i="5"/>
  <c r="M672" i="5" s="1"/>
  <c r="K672" i="5"/>
  <c r="G672" i="5"/>
  <c r="F672" i="5"/>
  <c r="N671" i="5"/>
  <c r="O671" i="5" s="1"/>
  <c r="L671" i="5"/>
  <c r="M671" i="5" s="1"/>
  <c r="K671" i="5"/>
  <c r="G671" i="5"/>
  <c r="F671" i="5"/>
  <c r="N670" i="5"/>
  <c r="O670" i="5" s="1"/>
  <c r="L670" i="5"/>
  <c r="M670" i="5" s="1"/>
  <c r="K670" i="5"/>
  <c r="G670" i="5"/>
  <c r="F670" i="5"/>
  <c r="N669" i="5"/>
  <c r="O669" i="5" s="1"/>
  <c r="L669" i="5"/>
  <c r="M669" i="5" s="1"/>
  <c r="K669" i="5"/>
  <c r="G669" i="5"/>
  <c r="F669" i="5"/>
  <c r="N668" i="5"/>
  <c r="O668" i="5" s="1"/>
  <c r="L668" i="5"/>
  <c r="M668" i="5" s="1"/>
  <c r="K668" i="5"/>
  <c r="G668" i="5"/>
  <c r="F668" i="5"/>
  <c r="N667" i="5"/>
  <c r="O667" i="5" s="1"/>
  <c r="L667" i="5"/>
  <c r="M667" i="5" s="1"/>
  <c r="K667" i="5"/>
  <c r="G667" i="5"/>
  <c r="F667" i="5"/>
  <c r="N666" i="5"/>
  <c r="O666" i="5" s="1"/>
  <c r="L666" i="5"/>
  <c r="M666" i="5" s="1"/>
  <c r="K666" i="5"/>
  <c r="G666" i="5"/>
  <c r="F666" i="5"/>
  <c r="N665" i="5"/>
  <c r="O665" i="5" s="1"/>
  <c r="L665" i="5"/>
  <c r="M665" i="5" s="1"/>
  <c r="K665" i="5"/>
  <c r="G665" i="5"/>
  <c r="F665" i="5"/>
  <c r="N664" i="5"/>
  <c r="O664" i="5" s="1"/>
  <c r="L664" i="5"/>
  <c r="M664" i="5" s="1"/>
  <c r="K664" i="5"/>
  <c r="G664" i="5"/>
  <c r="F664" i="5"/>
  <c r="N663" i="5"/>
  <c r="O663" i="5" s="1"/>
  <c r="L663" i="5"/>
  <c r="M663" i="5" s="1"/>
  <c r="K663" i="5"/>
  <c r="G663" i="5"/>
  <c r="F663" i="5"/>
  <c r="N662" i="5"/>
  <c r="O662" i="5" s="1"/>
  <c r="L662" i="5"/>
  <c r="M662" i="5" s="1"/>
  <c r="K662" i="5"/>
  <c r="G662" i="5"/>
  <c r="F662" i="5"/>
  <c r="N661" i="5"/>
  <c r="O661" i="5" s="1"/>
  <c r="L661" i="5"/>
  <c r="M661" i="5" s="1"/>
  <c r="K661" i="5"/>
  <c r="G661" i="5"/>
  <c r="F661" i="5"/>
  <c r="N660" i="5"/>
  <c r="O660" i="5" s="1"/>
  <c r="L660" i="5"/>
  <c r="M660" i="5" s="1"/>
  <c r="K660" i="5"/>
  <c r="G660" i="5"/>
  <c r="F660" i="5"/>
  <c r="N659" i="5"/>
  <c r="O659" i="5" s="1"/>
  <c r="L659" i="5"/>
  <c r="M659" i="5" s="1"/>
  <c r="K659" i="5"/>
  <c r="G659" i="5"/>
  <c r="F659" i="5"/>
  <c r="N658" i="5"/>
  <c r="O658" i="5" s="1"/>
  <c r="L658" i="5"/>
  <c r="M658" i="5" s="1"/>
  <c r="K658" i="5"/>
  <c r="G658" i="5"/>
  <c r="F658" i="5"/>
  <c r="N657" i="5"/>
  <c r="O657" i="5" s="1"/>
  <c r="L657" i="5"/>
  <c r="M657" i="5" s="1"/>
  <c r="K657" i="5"/>
  <c r="G657" i="5"/>
  <c r="F657" i="5"/>
  <c r="N656" i="5"/>
  <c r="O656" i="5" s="1"/>
  <c r="L656" i="5"/>
  <c r="M656" i="5" s="1"/>
  <c r="K656" i="5"/>
  <c r="G656" i="5"/>
  <c r="F656" i="5"/>
  <c r="N655" i="5"/>
  <c r="O655" i="5" s="1"/>
  <c r="L655" i="5"/>
  <c r="M655" i="5" s="1"/>
  <c r="K655" i="5"/>
  <c r="G655" i="5"/>
  <c r="F655" i="5"/>
  <c r="N654" i="5"/>
  <c r="O654" i="5" s="1"/>
  <c r="L654" i="5"/>
  <c r="M654" i="5" s="1"/>
  <c r="K654" i="5"/>
  <c r="G654" i="5"/>
  <c r="F654" i="5"/>
  <c r="N653" i="5"/>
  <c r="O653" i="5" s="1"/>
  <c r="L653" i="5"/>
  <c r="M653" i="5" s="1"/>
  <c r="K653" i="5"/>
  <c r="G653" i="5"/>
  <c r="F653" i="5"/>
  <c r="N652" i="5"/>
  <c r="O652" i="5" s="1"/>
  <c r="L652" i="5"/>
  <c r="M652" i="5" s="1"/>
  <c r="K652" i="5"/>
  <c r="G652" i="5"/>
  <c r="F652" i="5"/>
  <c r="N651" i="5"/>
  <c r="O651" i="5" s="1"/>
  <c r="L651" i="5"/>
  <c r="M651" i="5" s="1"/>
  <c r="K651" i="5"/>
  <c r="G651" i="5"/>
  <c r="F651" i="5"/>
  <c r="N650" i="5"/>
  <c r="O650" i="5" s="1"/>
  <c r="L650" i="5"/>
  <c r="M650" i="5" s="1"/>
  <c r="K650" i="5"/>
  <c r="G650" i="5"/>
  <c r="F650" i="5"/>
  <c r="N649" i="5"/>
  <c r="O649" i="5" s="1"/>
  <c r="L649" i="5"/>
  <c r="M649" i="5" s="1"/>
  <c r="K649" i="5"/>
  <c r="G649" i="5"/>
  <c r="F649" i="5"/>
  <c r="N648" i="5"/>
  <c r="O648" i="5" s="1"/>
  <c r="L648" i="5"/>
  <c r="M648" i="5" s="1"/>
  <c r="K648" i="5"/>
  <c r="G648" i="5"/>
  <c r="F648" i="5"/>
  <c r="N647" i="5"/>
  <c r="O647" i="5" s="1"/>
  <c r="L647" i="5"/>
  <c r="M647" i="5" s="1"/>
  <c r="K647" i="5"/>
  <c r="G647" i="5"/>
  <c r="F647" i="5"/>
  <c r="N646" i="5"/>
  <c r="O646" i="5" s="1"/>
  <c r="L646" i="5"/>
  <c r="M646" i="5" s="1"/>
  <c r="K646" i="5"/>
  <c r="G646" i="5"/>
  <c r="F646" i="5"/>
  <c r="N645" i="5"/>
  <c r="O645" i="5" s="1"/>
  <c r="L645" i="5"/>
  <c r="M645" i="5" s="1"/>
  <c r="K645" i="5"/>
  <c r="G645" i="5"/>
  <c r="F645" i="5"/>
  <c r="N644" i="5"/>
  <c r="O644" i="5" s="1"/>
  <c r="L644" i="5"/>
  <c r="M644" i="5" s="1"/>
  <c r="K644" i="5"/>
  <c r="G644" i="5"/>
  <c r="F644" i="5"/>
  <c r="N643" i="5"/>
  <c r="O643" i="5" s="1"/>
  <c r="L643" i="5"/>
  <c r="M643" i="5" s="1"/>
  <c r="K643" i="5"/>
  <c r="G643" i="5"/>
  <c r="F643" i="5"/>
  <c r="N642" i="5"/>
  <c r="O642" i="5" s="1"/>
  <c r="L642" i="5"/>
  <c r="M642" i="5" s="1"/>
  <c r="K642" i="5"/>
  <c r="G642" i="5"/>
  <c r="F642" i="5"/>
  <c r="N641" i="5"/>
  <c r="O641" i="5" s="1"/>
  <c r="L641" i="5"/>
  <c r="M641" i="5" s="1"/>
  <c r="K641" i="5"/>
  <c r="G641" i="5"/>
  <c r="F641" i="5"/>
  <c r="N640" i="5"/>
  <c r="O640" i="5" s="1"/>
  <c r="L640" i="5"/>
  <c r="M640" i="5" s="1"/>
  <c r="K640" i="5"/>
  <c r="G640" i="5"/>
  <c r="F640" i="5"/>
  <c r="N639" i="5"/>
  <c r="O639" i="5" s="1"/>
  <c r="L639" i="5"/>
  <c r="M639" i="5" s="1"/>
  <c r="K639" i="5"/>
  <c r="G639" i="5"/>
  <c r="F639" i="5"/>
  <c r="N638" i="5"/>
  <c r="O638" i="5" s="1"/>
  <c r="L638" i="5"/>
  <c r="M638" i="5" s="1"/>
  <c r="K638" i="5"/>
  <c r="G638" i="5"/>
  <c r="F638" i="5"/>
  <c r="N637" i="5"/>
  <c r="O637" i="5" s="1"/>
  <c r="L637" i="5"/>
  <c r="M637" i="5" s="1"/>
  <c r="K637" i="5"/>
  <c r="G637" i="5"/>
  <c r="F637" i="5"/>
  <c r="N636" i="5"/>
  <c r="O636" i="5" s="1"/>
  <c r="L636" i="5"/>
  <c r="M636" i="5" s="1"/>
  <c r="K636" i="5"/>
  <c r="G636" i="5"/>
  <c r="F636" i="5"/>
  <c r="N635" i="5"/>
  <c r="O635" i="5" s="1"/>
  <c r="L635" i="5"/>
  <c r="M635" i="5" s="1"/>
  <c r="K635" i="5"/>
  <c r="G635" i="5"/>
  <c r="F635" i="5"/>
  <c r="N634" i="5"/>
  <c r="O634" i="5" s="1"/>
  <c r="L634" i="5"/>
  <c r="M634" i="5" s="1"/>
  <c r="K634" i="5"/>
  <c r="G634" i="5"/>
  <c r="F634" i="5"/>
  <c r="N633" i="5"/>
  <c r="O633" i="5" s="1"/>
  <c r="L633" i="5"/>
  <c r="M633" i="5" s="1"/>
  <c r="K633" i="5"/>
  <c r="G633" i="5"/>
  <c r="F633" i="5"/>
  <c r="N632" i="5"/>
  <c r="O632" i="5" s="1"/>
  <c r="L632" i="5"/>
  <c r="M632" i="5" s="1"/>
  <c r="K632" i="5"/>
  <c r="G632" i="5"/>
  <c r="F632" i="5"/>
  <c r="N631" i="5"/>
  <c r="O631" i="5" s="1"/>
  <c r="L631" i="5"/>
  <c r="M631" i="5" s="1"/>
  <c r="K631" i="5"/>
  <c r="G631" i="5"/>
  <c r="F631" i="5"/>
  <c r="N630" i="5"/>
  <c r="O630" i="5" s="1"/>
  <c r="L630" i="5"/>
  <c r="M630" i="5" s="1"/>
  <c r="K630" i="5"/>
  <c r="G630" i="5"/>
  <c r="F630" i="5"/>
  <c r="N629" i="5"/>
  <c r="O629" i="5" s="1"/>
  <c r="L629" i="5"/>
  <c r="M629" i="5" s="1"/>
  <c r="K629" i="5"/>
  <c r="G629" i="5"/>
  <c r="F629" i="5"/>
  <c r="N628" i="5"/>
  <c r="O628" i="5" s="1"/>
  <c r="L628" i="5"/>
  <c r="M628" i="5" s="1"/>
  <c r="K628" i="5"/>
  <c r="G628" i="5"/>
  <c r="F628" i="5"/>
  <c r="N627" i="5"/>
  <c r="O627" i="5" s="1"/>
  <c r="L627" i="5"/>
  <c r="M627" i="5" s="1"/>
  <c r="K627" i="5"/>
  <c r="G627" i="5"/>
  <c r="F627" i="5"/>
  <c r="N626" i="5"/>
  <c r="O626" i="5" s="1"/>
  <c r="L626" i="5"/>
  <c r="M626" i="5" s="1"/>
  <c r="K626" i="5"/>
  <c r="G626" i="5"/>
  <c r="F626" i="5"/>
  <c r="N625" i="5"/>
  <c r="O625" i="5" s="1"/>
  <c r="L625" i="5"/>
  <c r="M625" i="5" s="1"/>
  <c r="K625" i="5"/>
  <c r="G625" i="5"/>
  <c r="F625" i="5"/>
  <c r="N624" i="5"/>
  <c r="O624" i="5" s="1"/>
  <c r="L624" i="5"/>
  <c r="M624" i="5" s="1"/>
  <c r="K624" i="5"/>
  <c r="G624" i="5"/>
  <c r="F624" i="5"/>
  <c r="N623" i="5"/>
  <c r="O623" i="5" s="1"/>
  <c r="L623" i="5"/>
  <c r="M623" i="5" s="1"/>
  <c r="K623" i="5"/>
  <c r="G623" i="5"/>
  <c r="F623" i="5"/>
  <c r="N622" i="5"/>
  <c r="O622" i="5" s="1"/>
  <c r="L622" i="5"/>
  <c r="M622" i="5" s="1"/>
  <c r="K622" i="5"/>
  <c r="G622" i="5"/>
  <c r="F622" i="5"/>
  <c r="N621" i="5"/>
  <c r="O621" i="5" s="1"/>
  <c r="L621" i="5"/>
  <c r="M621" i="5" s="1"/>
  <c r="K621" i="5"/>
  <c r="G621" i="5"/>
  <c r="F621" i="5"/>
  <c r="N620" i="5"/>
  <c r="O620" i="5" s="1"/>
  <c r="L620" i="5"/>
  <c r="M620" i="5" s="1"/>
  <c r="K620" i="5"/>
  <c r="G620" i="5"/>
  <c r="F620" i="5"/>
  <c r="N619" i="5"/>
  <c r="O619" i="5" s="1"/>
  <c r="L619" i="5"/>
  <c r="M619" i="5" s="1"/>
  <c r="K619" i="5"/>
  <c r="G619" i="5"/>
  <c r="F619" i="5"/>
  <c r="N618" i="5"/>
  <c r="O618" i="5" s="1"/>
  <c r="L618" i="5"/>
  <c r="M618" i="5" s="1"/>
  <c r="K618" i="5"/>
  <c r="G618" i="5"/>
  <c r="F618" i="5"/>
  <c r="N617" i="5"/>
  <c r="O617" i="5" s="1"/>
  <c r="L617" i="5"/>
  <c r="M617" i="5" s="1"/>
  <c r="K617" i="5"/>
  <c r="G617" i="5"/>
  <c r="F617" i="5"/>
  <c r="N616" i="5"/>
  <c r="O616" i="5" s="1"/>
  <c r="L616" i="5"/>
  <c r="M616" i="5" s="1"/>
  <c r="K616" i="5"/>
  <c r="G616" i="5"/>
  <c r="F616" i="5"/>
  <c r="N615" i="5"/>
  <c r="O615" i="5" s="1"/>
  <c r="L615" i="5"/>
  <c r="M615" i="5" s="1"/>
  <c r="K615" i="5"/>
  <c r="G615" i="5"/>
  <c r="F615" i="5"/>
  <c r="N614" i="5"/>
  <c r="O614" i="5" s="1"/>
  <c r="L614" i="5"/>
  <c r="M614" i="5" s="1"/>
  <c r="K614" i="5"/>
  <c r="G614" i="5"/>
  <c r="F614" i="5"/>
  <c r="N613" i="5"/>
  <c r="O613" i="5" s="1"/>
  <c r="L613" i="5"/>
  <c r="M613" i="5" s="1"/>
  <c r="K613" i="5"/>
  <c r="G613" i="5"/>
  <c r="F613" i="5"/>
  <c r="N612" i="5"/>
  <c r="O612" i="5" s="1"/>
  <c r="L612" i="5"/>
  <c r="M612" i="5" s="1"/>
  <c r="K612" i="5"/>
  <c r="G612" i="5"/>
  <c r="F612" i="5"/>
  <c r="N611" i="5"/>
  <c r="O611" i="5" s="1"/>
  <c r="L611" i="5"/>
  <c r="M611" i="5" s="1"/>
  <c r="K611" i="5"/>
  <c r="G611" i="5"/>
  <c r="F611" i="5"/>
  <c r="N610" i="5"/>
  <c r="O610" i="5" s="1"/>
  <c r="L610" i="5"/>
  <c r="M610" i="5" s="1"/>
  <c r="K610" i="5"/>
  <c r="G610" i="5"/>
  <c r="F610" i="5"/>
  <c r="N609" i="5"/>
  <c r="O609" i="5" s="1"/>
  <c r="L609" i="5"/>
  <c r="M609" i="5" s="1"/>
  <c r="K609" i="5"/>
  <c r="G609" i="5"/>
  <c r="F609" i="5"/>
  <c r="N608" i="5"/>
  <c r="O608" i="5" s="1"/>
  <c r="L608" i="5"/>
  <c r="M608" i="5" s="1"/>
  <c r="K608" i="5"/>
  <c r="G608" i="5"/>
  <c r="F608" i="5"/>
  <c r="N607" i="5"/>
  <c r="O607" i="5" s="1"/>
  <c r="L607" i="5"/>
  <c r="M607" i="5" s="1"/>
  <c r="K607" i="5"/>
  <c r="G607" i="5"/>
  <c r="F607" i="5"/>
  <c r="N606" i="5"/>
  <c r="O606" i="5" s="1"/>
  <c r="L606" i="5"/>
  <c r="M606" i="5" s="1"/>
  <c r="K606" i="5"/>
  <c r="G606" i="5"/>
  <c r="F606" i="5"/>
  <c r="N605" i="5"/>
  <c r="O605" i="5" s="1"/>
  <c r="L605" i="5"/>
  <c r="M605" i="5" s="1"/>
  <c r="K605" i="5"/>
  <c r="G605" i="5"/>
  <c r="F605" i="5"/>
  <c r="N604" i="5"/>
  <c r="O604" i="5" s="1"/>
  <c r="L604" i="5"/>
  <c r="M604" i="5" s="1"/>
  <c r="K604" i="5"/>
  <c r="G604" i="5"/>
  <c r="F604" i="5"/>
  <c r="N603" i="5"/>
  <c r="O603" i="5" s="1"/>
  <c r="L603" i="5"/>
  <c r="M603" i="5" s="1"/>
  <c r="K603" i="5"/>
  <c r="G603" i="5"/>
  <c r="F603" i="5"/>
  <c r="N602" i="5"/>
  <c r="O602" i="5" s="1"/>
  <c r="L602" i="5"/>
  <c r="M602" i="5" s="1"/>
  <c r="K602" i="5"/>
  <c r="G602" i="5"/>
  <c r="F602" i="5"/>
  <c r="N601" i="5"/>
  <c r="O601" i="5" s="1"/>
  <c r="L601" i="5"/>
  <c r="M601" i="5" s="1"/>
  <c r="K601" i="5"/>
  <c r="G601" i="5"/>
  <c r="F601" i="5"/>
  <c r="N600" i="5"/>
  <c r="O600" i="5" s="1"/>
  <c r="L600" i="5"/>
  <c r="M600" i="5" s="1"/>
  <c r="K600" i="5"/>
  <c r="G600" i="5"/>
  <c r="F600" i="5"/>
  <c r="N599" i="5"/>
  <c r="O599" i="5" s="1"/>
  <c r="L599" i="5"/>
  <c r="M599" i="5" s="1"/>
  <c r="K599" i="5"/>
  <c r="G599" i="5"/>
  <c r="F599" i="5"/>
  <c r="N598" i="5"/>
  <c r="O598" i="5" s="1"/>
  <c r="L598" i="5"/>
  <c r="M598" i="5" s="1"/>
  <c r="K598" i="5"/>
  <c r="G598" i="5"/>
  <c r="F598" i="5"/>
  <c r="N597" i="5"/>
  <c r="O597" i="5" s="1"/>
  <c r="L597" i="5"/>
  <c r="M597" i="5" s="1"/>
  <c r="K597" i="5"/>
  <c r="G597" i="5"/>
  <c r="F597" i="5"/>
  <c r="N596" i="5"/>
  <c r="O596" i="5" s="1"/>
  <c r="L596" i="5"/>
  <c r="M596" i="5" s="1"/>
  <c r="K596" i="5"/>
  <c r="G596" i="5"/>
  <c r="F596" i="5"/>
  <c r="N595" i="5"/>
  <c r="O595" i="5" s="1"/>
  <c r="L595" i="5"/>
  <c r="M595" i="5" s="1"/>
  <c r="K595" i="5"/>
  <c r="G595" i="5"/>
  <c r="F595" i="5"/>
  <c r="N594" i="5"/>
  <c r="O594" i="5" s="1"/>
  <c r="L594" i="5"/>
  <c r="M594" i="5" s="1"/>
  <c r="K594" i="5"/>
  <c r="G594" i="5"/>
  <c r="F594" i="5"/>
  <c r="N593" i="5"/>
  <c r="O593" i="5" s="1"/>
  <c r="L593" i="5"/>
  <c r="M593" i="5" s="1"/>
  <c r="K593" i="5"/>
  <c r="G593" i="5"/>
  <c r="F593" i="5"/>
  <c r="N592" i="5"/>
  <c r="O592" i="5" s="1"/>
  <c r="L592" i="5"/>
  <c r="M592" i="5" s="1"/>
  <c r="K592" i="5"/>
  <c r="G592" i="5"/>
  <c r="F592" i="5"/>
  <c r="N591" i="5"/>
  <c r="O591" i="5" s="1"/>
  <c r="L591" i="5"/>
  <c r="M591" i="5" s="1"/>
  <c r="K591" i="5"/>
  <c r="G591" i="5"/>
  <c r="F591" i="5"/>
  <c r="N590" i="5"/>
  <c r="O590" i="5" s="1"/>
  <c r="L590" i="5"/>
  <c r="M590" i="5" s="1"/>
  <c r="K590" i="5"/>
  <c r="G590" i="5"/>
  <c r="F590" i="5"/>
  <c r="N589" i="5"/>
  <c r="O589" i="5" s="1"/>
  <c r="L589" i="5"/>
  <c r="M589" i="5" s="1"/>
  <c r="K589" i="5"/>
  <c r="G589" i="5"/>
  <c r="F589" i="5"/>
  <c r="N588" i="5"/>
  <c r="O588" i="5" s="1"/>
  <c r="L588" i="5"/>
  <c r="M588" i="5" s="1"/>
  <c r="K588" i="5"/>
  <c r="G588" i="5"/>
  <c r="F588" i="5"/>
  <c r="N587" i="5"/>
  <c r="O587" i="5" s="1"/>
  <c r="L587" i="5"/>
  <c r="M587" i="5" s="1"/>
  <c r="K587" i="5"/>
  <c r="G587" i="5"/>
  <c r="F587" i="5"/>
  <c r="N586" i="5"/>
  <c r="O586" i="5" s="1"/>
  <c r="L586" i="5"/>
  <c r="M586" i="5" s="1"/>
  <c r="K586" i="5"/>
  <c r="G586" i="5"/>
  <c r="F586" i="5"/>
  <c r="N585" i="5"/>
  <c r="O585" i="5" s="1"/>
  <c r="L585" i="5"/>
  <c r="M585" i="5" s="1"/>
  <c r="K585" i="5"/>
  <c r="G585" i="5"/>
  <c r="F585" i="5"/>
  <c r="N584" i="5"/>
  <c r="O584" i="5" s="1"/>
  <c r="L584" i="5"/>
  <c r="M584" i="5" s="1"/>
  <c r="K584" i="5"/>
  <c r="G584" i="5"/>
  <c r="F584" i="5"/>
  <c r="N583" i="5"/>
  <c r="O583" i="5" s="1"/>
  <c r="L583" i="5"/>
  <c r="M583" i="5" s="1"/>
  <c r="K583" i="5"/>
  <c r="G583" i="5"/>
  <c r="F583" i="5"/>
  <c r="N582" i="5"/>
  <c r="O582" i="5" s="1"/>
  <c r="L582" i="5"/>
  <c r="M582" i="5" s="1"/>
  <c r="K582" i="5"/>
  <c r="G582" i="5"/>
  <c r="F582" i="5"/>
  <c r="N581" i="5"/>
  <c r="O581" i="5" s="1"/>
  <c r="L581" i="5"/>
  <c r="M581" i="5" s="1"/>
  <c r="K581" i="5"/>
  <c r="G581" i="5"/>
  <c r="F581" i="5"/>
  <c r="N580" i="5"/>
  <c r="O580" i="5" s="1"/>
  <c r="L580" i="5"/>
  <c r="M580" i="5" s="1"/>
  <c r="K580" i="5"/>
  <c r="G580" i="5"/>
  <c r="F580" i="5"/>
  <c r="N579" i="5"/>
  <c r="O579" i="5" s="1"/>
  <c r="L579" i="5"/>
  <c r="M579" i="5" s="1"/>
  <c r="K579" i="5"/>
  <c r="G579" i="5"/>
  <c r="F579" i="5"/>
  <c r="N578" i="5"/>
  <c r="O578" i="5" s="1"/>
  <c r="L578" i="5"/>
  <c r="M578" i="5" s="1"/>
  <c r="K578" i="5"/>
  <c r="G578" i="5"/>
  <c r="F578" i="5"/>
  <c r="N577" i="5"/>
  <c r="O577" i="5" s="1"/>
  <c r="L577" i="5"/>
  <c r="M577" i="5" s="1"/>
  <c r="K577" i="5"/>
  <c r="G577" i="5"/>
  <c r="F577" i="5"/>
  <c r="N576" i="5"/>
  <c r="O576" i="5" s="1"/>
  <c r="L576" i="5"/>
  <c r="M576" i="5" s="1"/>
  <c r="K576" i="5"/>
  <c r="G576" i="5"/>
  <c r="F576" i="5"/>
  <c r="N575" i="5"/>
  <c r="O575" i="5" s="1"/>
  <c r="L575" i="5"/>
  <c r="M575" i="5" s="1"/>
  <c r="K575" i="5"/>
  <c r="G575" i="5"/>
  <c r="F575" i="5"/>
  <c r="N574" i="5"/>
  <c r="O574" i="5" s="1"/>
  <c r="L574" i="5"/>
  <c r="M574" i="5" s="1"/>
  <c r="K574" i="5"/>
  <c r="G574" i="5"/>
  <c r="F574" i="5"/>
  <c r="N573" i="5"/>
  <c r="O573" i="5" s="1"/>
  <c r="L573" i="5"/>
  <c r="M573" i="5" s="1"/>
  <c r="K573" i="5"/>
  <c r="G573" i="5"/>
  <c r="F573" i="5"/>
  <c r="N572" i="5"/>
  <c r="O572" i="5" s="1"/>
  <c r="L572" i="5"/>
  <c r="M572" i="5" s="1"/>
  <c r="K572" i="5"/>
  <c r="G572" i="5"/>
  <c r="F572" i="5"/>
  <c r="N571" i="5"/>
  <c r="O571" i="5" s="1"/>
  <c r="L571" i="5"/>
  <c r="M571" i="5" s="1"/>
  <c r="K571" i="5"/>
  <c r="G571" i="5"/>
  <c r="F571" i="5"/>
  <c r="N570" i="5"/>
  <c r="O570" i="5" s="1"/>
  <c r="L570" i="5"/>
  <c r="M570" i="5" s="1"/>
  <c r="K570" i="5"/>
  <c r="G570" i="5"/>
  <c r="F570" i="5"/>
  <c r="N569" i="5"/>
  <c r="O569" i="5" s="1"/>
  <c r="L569" i="5"/>
  <c r="M569" i="5" s="1"/>
  <c r="K569" i="5"/>
  <c r="G569" i="5"/>
  <c r="F569" i="5"/>
  <c r="N568" i="5"/>
  <c r="O568" i="5" s="1"/>
  <c r="L568" i="5"/>
  <c r="M568" i="5" s="1"/>
  <c r="K568" i="5"/>
  <c r="G568" i="5"/>
  <c r="F568" i="5"/>
  <c r="N567" i="5"/>
  <c r="O567" i="5" s="1"/>
  <c r="L567" i="5"/>
  <c r="M567" i="5" s="1"/>
  <c r="K567" i="5"/>
  <c r="G567" i="5"/>
  <c r="F567" i="5"/>
  <c r="N566" i="5"/>
  <c r="O566" i="5" s="1"/>
  <c r="L566" i="5"/>
  <c r="M566" i="5" s="1"/>
  <c r="K566" i="5"/>
  <c r="G566" i="5"/>
  <c r="F566" i="5"/>
  <c r="N565" i="5"/>
  <c r="O565" i="5" s="1"/>
  <c r="L565" i="5"/>
  <c r="M565" i="5" s="1"/>
  <c r="K565" i="5"/>
  <c r="G565" i="5"/>
  <c r="F565" i="5"/>
  <c r="N564" i="5"/>
  <c r="O564" i="5" s="1"/>
  <c r="L564" i="5"/>
  <c r="M564" i="5" s="1"/>
  <c r="K564" i="5"/>
  <c r="G564" i="5"/>
  <c r="F564" i="5"/>
  <c r="N563" i="5"/>
  <c r="O563" i="5" s="1"/>
  <c r="L563" i="5"/>
  <c r="M563" i="5" s="1"/>
  <c r="K563" i="5"/>
  <c r="G563" i="5"/>
  <c r="F563" i="5"/>
  <c r="N562" i="5"/>
  <c r="O562" i="5" s="1"/>
  <c r="L562" i="5"/>
  <c r="M562" i="5" s="1"/>
  <c r="K562" i="5"/>
  <c r="G562" i="5"/>
  <c r="F562" i="5"/>
  <c r="N561" i="5"/>
  <c r="O561" i="5" s="1"/>
  <c r="L561" i="5"/>
  <c r="M561" i="5" s="1"/>
  <c r="K561" i="5"/>
  <c r="G561" i="5"/>
  <c r="F561" i="5"/>
  <c r="N560" i="5"/>
  <c r="O560" i="5" s="1"/>
  <c r="L560" i="5"/>
  <c r="M560" i="5" s="1"/>
  <c r="K560" i="5"/>
  <c r="G560" i="5"/>
  <c r="F560" i="5"/>
  <c r="N559" i="5"/>
  <c r="O559" i="5" s="1"/>
  <c r="L559" i="5"/>
  <c r="M559" i="5" s="1"/>
  <c r="K559" i="5"/>
  <c r="G559" i="5"/>
  <c r="F559" i="5"/>
  <c r="N558" i="5"/>
  <c r="O558" i="5" s="1"/>
  <c r="L558" i="5"/>
  <c r="M558" i="5" s="1"/>
  <c r="K558" i="5"/>
  <c r="G558" i="5"/>
  <c r="F558" i="5"/>
  <c r="N557" i="5"/>
  <c r="O557" i="5" s="1"/>
  <c r="L557" i="5"/>
  <c r="M557" i="5" s="1"/>
  <c r="K557" i="5"/>
  <c r="G557" i="5"/>
  <c r="F557" i="5"/>
  <c r="N556" i="5"/>
  <c r="O556" i="5" s="1"/>
  <c r="L556" i="5"/>
  <c r="M556" i="5" s="1"/>
  <c r="K556" i="5"/>
  <c r="G556" i="5"/>
  <c r="F556" i="5"/>
  <c r="N555" i="5"/>
  <c r="O555" i="5" s="1"/>
  <c r="L555" i="5"/>
  <c r="M555" i="5" s="1"/>
  <c r="K555" i="5"/>
  <c r="G555" i="5"/>
  <c r="F555" i="5"/>
  <c r="N554" i="5"/>
  <c r="O554" i="5" s="1"/>
  <c r="L554" i="5"/>
  <c r="M554" i="5" s="1"/>
  <c r="K554" i="5"/>
  <c r="G554" i="5"/>
  <c r="F554" i="5"/>
  <c r="N553" i="5"/>
  <c r="O553" i="5" s="1"/>
  <c r="L553" i="5"/>
  <c r="M553" i="5" s="1"/>
  <c r="K553" i="5"/>
  <c r="G553" i="5"/>
  <c r="F553" i="5"/>
  <c r="N552" i="5"/>
  <c r="O552" i="5" s="1"/>
  <c r="L552" i="5"/>
  <c r="M552" i="5" s="1"/>
  <c r="K552" i="5"/>
  <c r="G552" i="5"/>
  <c r="F552" i="5"/>
  <c r="N551" i="5"/>
  <c r="O551" i="5" s="1"/>
  <c r="L551" i="5"/>
  <c r="M551" i="5" s="1"/>
  <c r="K551" i="5"/>
  <c r="G551" i="5"/>
  <c r="F551" i="5"/>
  <c r="N550" i="5"/>
  <c r="O550" i="5" s="1"/>
  <c r="L550" i="5"/>
  <c r="M550" i="5" s="1"/>
  <c r="K550" i="5"/>
  <c r="G550" i="5"/>
  <c r="F550" i="5"/>
  <c r="N549" i="5"/>
  <c r="O549" i="5" s="1"/>
  <c r="L549" i="5"/>
  <c r="M549" i="5" s="1"/>
  <c r="K549" i="5"/>
  <c r="G549" i="5"/>
  <c r="F549" i="5"/>
  <c r="N548" i="5"/>
  <c r="O548" i="5" s="1"/>
  <c r="L548" i="5"/>
  <c r="M548" i="5" s="1"/>
  <c r="K548" i="5"/>
  <c r="G548" i="5"/>
  <c r="F548" i="5"/>
  <c r="N547" i="5"/>
  <c r="O547" i="5" s="1"/>
  <c r="L547" i="5"/>
  <c r="M547" i="5" s="1"/>
  <c r="K547" i="5"/>
  <c r="G547" i="5"/>
  <c r="F547" i="5"/>
  <c r="N546" i="5"/>
  <c r="O546" i="5" s="1"/>
  <c r="L546" i="5"/>
  <c r="M546" i="5" s="1"/>
  <c r="K546" i="5"/>
  <c r="G546" i="5"/>
  <c r="F546" i="5"/>
  <c r="N545" i="5"/>
  <c r="O545" i="5" s="1"/>
  <c r="L545" i="5"/>
  <c r="M545" i="5" s="1"/>
  <c r="K545" i="5"/>
  <c r="G545" i="5"/>
  <c r="F545" i="5"/>
  <c r="N544" i="5"/>
  <c r="O544" i="5" s="1"/>
  <c r="L544" i="5"/>
  <c r="M544" i="5" s="1"/>
  <c r="K544" i="5"/>
  <c r="G544" i="5"/>
  <c r="F544" i="5"/>
  <c r="N543" i="5"/>
  <c r="O543" i="5" s="1"/>
  <c r="L543" i="5"/>
  <c r="M543" i="5" s="1"/>
  <c r="K543" i="5"/>
  <c r="G543" i="5"/>
  <c r="F543" i="5"/>
  <c r="N542" i="5"/>
  <c r="O542" i="5" s="1"/>
  <c r="L542" i="5"/>
  <c r="M542" i="5" s="1"/>
  <c r="K542" i="5"/>
  <c r="G542" i="5"/>
  <c r="F542" i="5"/>
  <c r="N541" i="5"/>
  <c r="O541" i="5" s="1"/>
  <c r="L541" i="5"/>
  <c r="M541" i="5" s="1"/>
  <c r="K541" i="5"/>
  <c r="G541" i="5"/>
  <c r="F541" i="5"/>
  <c r="N540" i="5"/>
  <c r="O540" i="5" s="1"/>
  <c r="L540" i="5"/>
  <c r="M540" i="5" s="1"/>
  <c r="K540" i="5"/>
  <c r="G540" i="5"/>
  <c r="F540" i="5"/>
  <c r="N539" i="5"/>
  <c r="O539" i="5" s="1"/>
  <c r="L539" i="5"/>
  <c r="M539" i="5" s="1"/>
  <c r="K539" i="5"/>
  <c r="G539" i="5"/>
  <c r="F539" i="5"/>
  <c r="N538" i="5"/>
  <c r="O538" i="5" s="1"/>
  <c r="L538" i="5"/>
  <c r="M538" i="5" s="1"/>
  <c r="K538" i="5"/>
  <c r="G538" i="5"/>
  <c r="F538" i="5"/>
  <c r="N537" i="5"/>
  <c r="O537" i="5" s="1"/>
  <c r="L537" i="5"/>
  <c r="M537" i="5" s="1"/>
  <c r="K537" i="5"/>
  <c r="G537" i="5"/>
  <c r="F537" i="5"/>
  <c r="N536" i="5"/>
  <c r="O536" i="5" s="1"/>
  <c r="L536" i="5"/>
  <c r="M536" i="5" s="1"/>
  <c r="K536" i="5"/>
  <c r="G536" i="5"/>
  <c r="F536" i="5"/>
  <c r="N535" i="5"/>
  <c r="O535" i="5" s="1"/>
  <c r="L535" i="5"/>
  <c r="M535" i="5" s="1"/>
  <c r="K535" i="5"/>
  <c r="G535" i="5"/>
  <c r="F535" i="5"/>
  <c r="N534" i="5"/>
  <c r="O534" i="5" s="1"/>
  <c r="L534" i="5"/>
  <c r="M534" i="5" s="1"/>
  <c r="K534" i="5"/>
  <c r="G534" i="5"/>
  <c r="F534" i="5"/>
  <c r="N533" i="5"/>
  <c r="O533" i="5" s="1"/>
  <c r="L533" i="5"/>
  <c r="M533" i="5" s="1"/>
  <c r="K533" i="5"/>
  <c r="G533" i="5"/>
  <c r="F533" i="5"/>
  <c r="N532" i="5"/>
  <c r="O532" i="5" s="1"/>
  <c r="L532" i="5"/>
  <c r="M532" i="5" s="1"/>
  <c r="K532" i="5"/>
  <c r="G532" i="5"/>
  <c r="F532" i="5"/>
  <c r="N531" i="5"/>
  <c r="O531" i="5" s="1"/>
  <c r="L531" i="5"/>
  <c r="M531" i="5" s="1"/>
  <c r="K531" i="5"/>
  <c r="G531" i="5"/>
  <c r="F531" i="5"/>
  <c r="N530" i="5"/>
  <c r="O530" i="5" s="1"/>
  <c r="L530" i="5"/>
  <c r="M530" i="5" s="1"/>
  <c r="K530" i="5"/>
  <c r="G530" i="5"/>
  <c r="F530" i="5"/>
  <c r="N529" i="5"/>
  <c r="O529" i="5" s="1"/>
  <c r="L529" i="5"/>
  <c r="M529" i="5" s="1"/>
  <c r="K529" i="5"/>
  <c r="G529" i="5"/>
  <c r="F529" i="5"/>
  <c r="N528" i="5"/>
  <c r="O528" i="5" s="1"/>
  <c r="L528" i="5"/>
  <c r="M528" i="5" s="1"/>
  <c r="K528" i="5"/>
  <c r="G528" i="5"/>
  <c r="F528" i="5"/>
  <c r="N527" i="5"/>
  <c r="O527" i="5" s="1"/>
  <c r="L527" i="5"/>
  <c r="M527" i="5" s="1"/>
  <c r="K527" i="5"/>
  <c r="G527" i="5"/>
  <c r="F527" i="5"/>
  <c r="N526" i="5"/>
  <c r="O526" i="5" s="1"/>
  <c r="L526" i="5"/>
  <c r="M526" i="5" s="1"/>
  <c r="K526" i="5"/>
  <c r="G526" i="5"/>
  <c r="F526" i="5"/>
  <c r="N525" i="5"/>
  <c r="O525" i="5" s="1"/>
  <c r="L525" i="5"/>
  <c r="M525" i="5" s="1"/>
  <c r="K525" i="5"/>
  <c r="G525" i="5"/>
  <c r="F525" i="5"/>
  <c r="N524" i="5"/>
  <c r="O524" i="5" s="1"/>
  <c r="L524" i="5"/>
  <c r="M524" i="5" s="1"/>
  <c r="K524" i="5"/>
  <c r="G524" i="5"/>
  <c r="F524" i="5"/>
  <c r="N523" i="5"/>
  <c r="O523" i="5" s="1"/>
  <c r="L523" i="5"/>
  <c r="M523" i="5" s="1"/>
  <c r="K523" i="5"/>
  <c r="G523" i="5"/>
  <c r="F523" i="5"/>
  <c r="N522" i="5"/>
  <c r="O522" i="5" s="1"/>
  <c r="L522" i="5"/>
  <c r="M522" i="5" s="1"/>
  <c r="K522" i="5"/>
  <c r="G522" i="5"/>
  <c r="F522" i="5"/>
  <c r="N521" i="5"/>
  <c r="O521" i="5" s="1"/>
  <c r="L521" i="5"/>
  <c r="M521" i="5" s="1"/>
  <c r="K521" i="5"/>
  <c r="G521" i="5"/>
  <c r="F521" i="5"/>
  <c r="N520" i="5"/>
  <c r="O520" i="5" s="1"/>
  <c r="L520" i="5"/>
  <c r="M520" i="5" s="1"/>
  <c r="K520" i="5"/>
  <c r="G520" i="5"/>
  <c r="F520" i="5"/>
  <c r="N519" i="5"/>
  <c r="O519" i="5" s="1"/>
  <c r="L519" i="5"/>
  <c r="M519" i="5" s="1"/>
  <c r="K519" i="5"/>
  <c r="G519" i="5"/>
  <c r="F519" i="5"/>
  <c r="N518" i="5"/>
  <c r="O518" i="5" s="1"/>
  <c r="L518" i="5"/>
  <c r="M518" i="5" s="1"/>
  <c r="K518" i="5"/>
  <c r="G518" i="5"/>
  <c r="F518" i="5"/>
  <c r="N517" i="5"/>
  <c r="O517" i="5" s="1"/>
  <c r="L517" i="5"/>
  <c r="M517" i="5" s="1"/>
  <c r="K517" i="5"/>
  <c r="G517" i="5"/>
  <c r="F517" i="5"/>
  <c r="N516" i="5"/>
  <c r="O516" i="5" s="1"/>
  <c r="L516" i="5"/>
  <c r="M516" i="5" s="1"/>
  <c r="K516" i="5"/>
  <c r="G516" i="5"/>
  <c r="F516" i="5"/>
  <c r="N515" i="5"/>
  <c r="O515" i="5" s="1"/>
  <c r="L515" i="5"/>
  <c r="M515" i="5" s="1"/>
  <c r="K515" i="5"/>
  <c r="G515" i="5"/>
  <c r="F515" i="5"/>
  <c r="N514" i="5"/>
  <c r="O514" i="5" s="1"/>
  <c r="L514" i="5"/>
  <c r="M514" i="5" s="1"/>
  <c r="K514" i="5"/>
  <c r="G514" i="5"/>
  <c r="F514" i="5"/>
  <c r="N513" i="5"/>
  <c r="O513" i="5" s="1"/>
  <c r="L513" i="5"/>
  <c r="M513" i="5" s="1"/>
  <c r="K513" i="5"/>
  <c r="G513" i="5"/>
  <c r="F513" i="5"/>
  <c r="N512" i="5"/>
  <c r="O512" i="5" s="1"/>
  <c r="L512" i="5"/>
  <c r="M512" i="5" s="1"/>
  <c r="K512" i="5"/>
  <c r="G512" i="5"/>
  <c r="F512" i="5"/>
  <c r="N511" i="5"/>
  <c r="O511" i="5" s="1"/>
  <c r="L511" i="5"/>
  <c r="M511" i="5" s="1"/>
  <c r="K511" i="5"/>
  <c r="G511" i="5"/>
  <c r="F511" i="5"/>
  <c r="N510" i="5"/>
  <c r="O510" i="5" s="1"/>
  <c r="L510" i="5"/>
  <c r="M510" i="5" s="1"/>
  <c r="K510" i="5"/>
  <c r="G510" i="5"/>
  <c r="F510" i="5"/>
  <c r="N509" i="5"/>
  <c r="O509" i="5" s="1"/>
  <c r="L509" i="5"/>
  <c r="M509" i="5" s="1"/>
  <c r="K509" i="5"/>
  <c r="G509" i="5"/>
  <c r="F509" i="5"/>
  <c r="N508" i="5"/>
  <c r="O508" i="5" s="1"/>
  <c r="L508" i="5"/>
  <c r="M508" i="5" s="1"/>
  <c r="K508" i="5"/>
  <c r="G508" i="5"/>
  <c r="F508" i="5"/>
  <c r="N507" i="5"/>
  <c r="O507" i="5" s="1"/>
  <c r="L507" i="5"/>
  <c r="M507" i="5" s="1"/>
  <c r="K507" i="5"/>
  <c r="G507" i="5"/>
  <c r="F507" i="5"/>
  <c r="N506" i="5"/>
  <c r="O506" i="5" s="1"/>
  <c r="L506" i="5"/>
  <c r="M506" i="5" s="1"/>
  <c r="K506" i="5"/>
  <c r="G506" i="5"/>
  <c r="F506" i="5"/>
  <c r="N505" i="5"/>
  <c r="O505" i="5" s="1"/>
  <c r="L505" i="5"/>
  <c r="M505" i="5" s="1"/>
  <c r="K505" i="5"/>
  <c r="G505" i="5"/>
  <c r="F505" i="5"/>
  <c r="N504" i="5"/>
  <c r="O504" i="5" s="1"/>
  <c r="L504" i="5"/>
  <c r="M504" i="5" s="1"/>
  <c r="K504" i="5"/>
  <c r="G504" i="5"/>
  <c r="F504" i="5"/>
  <c r="N503" i="5"/>
  <c r="O503" i="5" s="1"/>
  <c r="L503" i="5"/>
  <c r="M503" i="5" s="1"/>
  <c r="K503" i="5"/>
  <c r="G503" i="5"/>
  <c r="F503" i="5"/>
  <c r="N502" i="5"/>
  <c r="O502" i="5" s="1"/>
  <c r="L502" i="5"/>
  <c r="M502" i="5" s="1"/>
  <c r="K502" i="5"/>
  <c r="G502" i="5"/>
  <c r="F502" i="5"/>
  <c r="N501" i="5"/>
  <c r="O501" i="5" s="1"/>
  <c r="L501" i="5"/>
  <c r="M501" i="5" s="1"/>
  <c r="K501" i="5"/>
  <c r="G501" i="5"/>
  <c r="F501" i="5"/>
  <c r="N500" i="5"/>
  <c r="O500" i="5" s="1"/>
  <c r="L500" i="5"/>
  <c r="M500" i="5" s="1"/>
  <c r="K500" i="5"/>
  <c r="G500" i="5"/>
  <c r="F500" i="5"/>
  <c r="N499" i="5"/>
  <c r="O499" i="5" s="1"/>
  <c r="L499" i="5"/>
  <c r="M499" i="5" s="1"/>
  <c r="K499" i="5"/>
  <c r="G499" i="5"/>
  <c r="F499" i="5"/>
  <c r="N498" i="5"/>
  <c r="O498" i="5" s="1"/>
  <c r="L498" i="5"/>
  <c r="M498" i="5" s="1"/>
  <c r="K498" i="5"/>
  <c r="G498" i="5"/>
  <c r="F498" i="5"/>
  <c r="N497" i="5"/>
  <c r="O497" i="5" s="1"/>
  <c r="L497" i="5"/>
  <c r="M497" i="5" s="1"/>
  <c r="K497" i="5"/>
  <c r="G497" i="5"/>
  <c r="F497" i="5"/>
  <c r="N496" i="5"/>
  <c r="O496" i="5" s="1"/>
  <c r="L496" i="5"/>
  <c r="M496" i="5" s="1"/>
  <c r="K496" i="5"/>
  <c r="G496" i="5"/>
  <c r="F496" i="5"/>
  <c r="N495" i="5"/>
  <c r="O495" i="5" s="1"/>
  <c r="L495" i="5"/>
  <c r="M495" i="5" s="1"/>
  <c r="K495" i="5"/>
  <c r="G495" i="5"/>
  <c r="F495" i="5"/>
  <c r="N494" i="5"/>
  <c r="O494" i="5" s="1"/>
  <c r="L494" i="5"/>
  <c r="M494" i="5" s="1"/>
  <c r="K494" i="5"/>
  <c r="G494" i="5"/>
  <c r="F494" i="5"/>
  <c r="N493" i="5"/>
  <c r="O493" i="5" s="1"/>
  <c r="L493" i="5"/>
  <c r="M493" i="5" s="1"/>
  <c r="K493" i="5"/>
  <c r="G493" i="5"/>
  <c r="F493" i="5"/>
  <c r="N492" i="5"/>
  <c r="O492" i="5" s="1"/>
  <c r="L492" i="5"/>
  <c r="M492" i="5" s="1"/>
  <c r="K492" i="5"/>
  <c r="G492" i="5"/>
  <c r="F492" i="5"/>
  <c r="N491" i="5"/>
  <c r="O491" i="5" s="1"/>
  <c r="L491" i="5"/>
  <c r="M491" i="5" s="1"/>
  <c r="K491" i="5"/>
  <c r="G491" i="5"/>
  <c r="F491" i="5"/>
  <c r="N490" i="5"/>
  <c r="O490" i="5" s="1"/>
  <c r="L490" i="5"/>
  <c r="M490" i="5" s="1"/>
  <c r="K490" i="5"/>
  <c r="G490" i="5"/>
  <c r="F490" i="5"/>
  <c r="N489" i="5"/>
  <c r="O489" i="5" s="1"/>
  <c r="L489" i="5"/>
  <c r="M489" i="5" s="1"/>
  <c r="K489" i="5"/>
  <c r="G489" i="5"/>
  <c r="F489" i="5"/>
  <c r="N488" i="5"/>
  <c r="O488" i="5" s="1"/>
  <c r="L488" i="5"/>
  <c r="M488" i="5" s="1"/>
  <c r="K488" i="5"/>
  <c r="G488" i="5"/>
  <c r="F488" i="5"/>
  <c r="N487" i="5"/>
  <c r="O487" i="5" s="1"/>
  <c r="L487" i="5"/>
  <c r="M487" i="5" s="1"/>
  <c r="K487" i="5"/>
  <c r="G487" i="5"/>
  <c r="F487" i="5"/>
  <c r="N486" i="5"/>
  <c r="O486" i="5" s="1"/>
  <c r="L486" i="5"/>
  <c r="M486" i="5" s="1"/>
  <c r="K486" i="5"/>
  <c r="G486" i="5"/>
  <c r="F486" i="5"/>
  <c r="N485" i="5"/>
  <c r="O485" i="5" s="1"/>
  <c r="L485" i="5"/>
  <c r="M485" i="5" s="1"/>
  <c r="K485" i="5"/>
  <c r="G485" i="5"/>
  <c r="F485" i="5"/>
  <c r="N484" i="5"/>
  <c r="O484" i="5" s="1"/>
  <c r="L484" i="5"/>
  <c r="M484" i="5" s="1"/>
  <c r="K484" i="5"/>
  <c r="G484" i="5"/>
  <c r="F484" i="5"/>
  <c r="N483" i="5"/>
  <c r="O483" i="5" s="1"/>
  <c r="L483" i="5"/>
  <c r="M483" i="5" s="1"/>
  <c r="K483" i="5"/>
  <c r="G483" i="5"/>
  <c r="F483" i="5"/>
  <c r="N482" i="5"/>
  <c r="O482" i="5" s="1"/>
  <c r="L482" i="5"/>
  <c r="M482" i="5" s="1"/>
  <c r="K482" i="5"/>
  <c r="G482" i="5"/>
  <c r="F482" i="5"/>
  <c r="N481" i="5"/>
  <c r="O481" i="5" s="1"/>
  <c r="L481" i="5"/>
  <c r="M481" i="5" s="1"/>
  <c r="K481" i="5"/>
  <c r="G481" i="5"/>
  <c r="F481" i="5"/>
  <c r="N480" i="5"/>
  <c r="O480" i="5" s="1"/>
  <c r="L480" i="5"/>
  <c r="M480" i="5" s="1"/>
  <c r="K480" i="5"/>
  <c r="G480" i="5"/>
  <c r="F480" i="5"/>
  <c r="N479" i="5"/>
  <c r="O479" i="5" s="1"/>
  <c r="L479" i="5"/>
  <c r="M479" i="5" s="1"/>
  <c r="K479" i="5"/>
  <c r="G479" i="5"/>
  <c r="F479" i="5"/>
  <c r="N478" i="5"/>
  <c r="O478" i="5" s="1"/>
  <c r="L478" i="5"/>
  <c r="M478" i="5" s="1"/>
  <c r="K478" i="5"/>
  <c r="G478" i="5"/>
  <c r="F478" i="5"/>
  <c r="N477" i="5"/>
  <c r="O477" i="5" s="1"/>
  <c r="L477" i="5"/>
  <c r="M477" i="5" s="1"/>
  <c r="K477" i="5"/>
  <c r="G477" i="5"/>
  <c r="F477" i="5"/>
  <c r="N476" i="5"/>
  <c r="O476" i="5" s="1"/>
  <c r="L476" i="5"/>
  <c r="M476" i="5" s="1"/>
  <c r="K476" i="5"/>
  <c r="G476" i="5"/>
  <c r="F476" i="5"/>
  <c r="N475" i="5"/>
  <c r="O475" i="5" s="1"/>
  <c r="L475" i="5"/>
  <c r="M475" i="5" s="1"/>
  <c r="K475" i="5"/>
  <c r="G475" i="5"/>
  <c r="F475" i="5"/>
  <c r="N474" i="5"/>
  <c r="O474" i="5" s="1"/>
  <c r="L474" i="5"/>
  <c r="M474" i="5" s="1"/>
  <c r="K474" i="5"/>
  <c r="G474" i="5"/>
  <c r="F474" i="5"/>
  <c r="N473" i="5"/>
  <c r="O473" i="5" s="1"/>
  <c r="L473" i="5"/>
  <c r="M473" i="5" s="1"/>
  <c r="K473" i="5"/>
  <c r="G473" i="5"/>
  <c r="F473" i="5"/>
  <c r="N472" i="5"/>
  <c r="O472" i="5" s="1"/>
  <c r="L472" i="5"/>
  <c r="M472" i="5" s="1"/>
  <c r="K472" i="5"/>
  <c r="G472" i="5"/>
  <c r="F472" i="5"/>
  <c r="N471" i="5"/>
  <c r="O471" i="5" s="1"/>
  <c r="L471" i="5"/>
  <c r="M471" i="5" s="1"/>
  <c r="K471" i="5"/>
  <c r="G471" i="5"/>
  <c r="F471" i="5"/>
  <c r="N470" i="5"/>
  <c r="O470" i="5" s="1"/>
  <c r="L470" i="5"/>
  <c r="M470" i="5" s="1"/>
  <c r="K470" i="5"/>
  <c r="G470" i="5"/>
  <c r="F470" i="5"/>
  <c r="N469" i="5"/>
  <c r="O469" i="5" s="1"/>
  <c r="L469" i="5"/>
  <c r="M469" i="5" s="1"/>
  <c r="K469" i="5"/>
  <c r="G469" i="5"/>
  <c r="F469" i="5"/>
  <c r="N468" i="5"/>
  <c r="O468" i="5" s="1"/>
  <c r="L468" i="5"/>
  <c r="M468" i="5" s="1"/>
  <c r="K468" i="5"/>
  <c r="G468" i="5"/>
  <c r="F468" i="5"/>
  <c r="N467" i="5"/>
  <c r="O467" i="5" s="1"/>
  <c r="L467" i="5"/>
  <c r="M467" i="5" s="1"/>
  <c r="K467" i="5"/>
  <c r="G467" i="5"/>
  <c r="F467" i="5"/>
  <c r="N466" i="5"/>
  <c r="O466" i="5" s="1"/>
  <c r="L466" i="5"/>
  <c r="M466" i="5" s="1"/>
  <c r="K466" i="5"/>
  <c r="G466" i="5"/>
  <c r="F466" i="5"/>
  <c r="N465" i="5"/>
  <c r="O465" i="5" s="1"/>
  <c r="L465" i="5"/>
  <c r="M465" i="5" s="1"/>
  <c r="K465" i="5"/>
  <c r="G465" i="5"/>
  <c r="F465" i="5"/>
  <c r="N464" i="5"/>
  <c r="O464" i="5" s="1"/>
  <c r="L464" i="5"/>
  <c r="M464" i="5" s="1"/>
  <c r="K464" i="5"/>
  <c r="G464" i="5"/>
  <c r="F464" i="5"/>
  <c r="N463" i="5"/>
  <c r="O463" i="5" s="1"/>
  <c r="L463" i="5"/>
  <c r="M463" i="5" s="1"/>
  <c r="K463" i="5"/>
  <c r="G463" i="5"/>
  <c r="F463" i="5"/>
  <c r="N462" i="5"/>
  <c r="O462" i="5" s="1"/>
  <c r="L462" i="5"/>
  <c r="M462" i="5" s="1"/>
  <c r="K462" i="5"/>
  <c r="G462" i="5"/>
  <c r="F462" i="5"/>
  <c r="N461" i="5"/>
  <c r="O461" i="5" s="1"/>
  <c r="L461" i="5"/>
  <c r="M461" i="5" s="1"/>
  <c r="K461" i="5"/>
  <c r="G461" i="5"/>
  <c r="F461" i="5"/>
  <c r="N460" i="5"/>
  <c r="O460" i="5" s="1"/>
  <c r="L460" i="5"/>
  <c r="M460" i="5" s="1"/>
  <c r="K460" i="5"/>
  <c r="G460" i="5"/>
  <c r="F460" i="5"/>
  <c r="N459" i="5"/>
  <c r="O459" i="5" s="1"/>
  <c r="L459" i="5"/>
  <c r="M459" i="5" s="1"/>
  <c r="K459" i="5"/>
  <c r="G459" i="5"/>
  <c r="F459" i="5"/>
  <c r="N458" i="5"/>
  <c r="O458" i="5" s="1"/>
  <c r="L458" i="5"/>
  <c r="M458" i="5" s="1"/>
  <c r="K458" i="5"/>
  <c r="G458" i="5"/>
  <c r="F458" i="5"/>
  <c r="N457" i="5"/>
  <c r="O457" i="5" s="1"/>
  <c r="L457" i="5"/>
  <c r="M457" i="5" s="1"/>
  <c r="K457" i="5"/>
  <c r="G457" i="5"/>
  <c r="F457" i="5"/>
  <c r="N456" i="5"/>
  <c r="O456" i="5" s="1"/>
  <c r="L456" i="5"/>
  <c r="M456" i="5" s="1"/>
  <c r="K456" i="5"/>
  <c r="G456" i="5"/>
  <c r="F456" i="5"/>
  <c r="N455" i="5"/>
  <c r="O455" i="5" s="1"/>
  <c r="L455" i="5"/>
  <c r="M455" i="5" s="1"/>
  <c r="K455" i="5"/>
  <c r="G455" i="5"/>
  <c r="F455" i="5"/>
  <c r="N454" i="5"/>
  <c r="O454" i="5" s="1"/>
  <c r="L454" i="5"/>
  <c r="M454" i="5" s="1"/>
  <c r="K454" i="5"/>
  <c r="G454" i="5"/>
  <c r="F454" i="5"/>
  <c r="N453" i="5"/>
  <c r="O453" i="5" s="1"/>
  <c r="L453" i="5"/>
  <c r="M453" i="5" s="1"/>
  <c r="K453" i="5"/>
  <c r="G453" i="5"/>
  <c r="F453" i="5"/>
  <c r="N452" i="5"/>
  <c r="O452" i="5" s="1"/>
  <c r="L452" i="5"/>
  <c r="M452" i="5" s="1"/>
  <c r="K452" i="5"/>
  <c r="G452" i="5"/>
  <c r="F452" i="5"/>
  <c r="N451" i="5"/>
  <c r="O451" i="5" s="1"/>
  <c r="L451" i="5"/>
  <c r="M451" i="5" s="1"/>
  <c r="K451" i="5"/>
  <c r="G451" i="5"/>
  <c r="F451" i="5"/>
  <c r="N450" i="5"/>
  <c r="O450" i="5" s="1"/>
  <c r="L450" i="5"/>
  <c r="M450" i="5" s="1"/>
  <c r="K450" i="5"/>
  <c r="G450" i="5"/>
  <c r="F450" i="5"/>
  <c r="N449" i="5"/>
  <c r="O449" i="5" s="1"/>
  <c r="L449" i="5"/>
  <c r="M449" i="5" s="1"/>
  <c r="K449" i="5"/>
  <c r="G449" i="5"/>
  <c r="F449" i="5"/>
  <c r="N448" i="5"/>
  <c r="O448" i="5" s="1"/>
  <c r="L448" i="5"/>
  <c r="M448" i="5" s="1"/>
  <c r="K448" i="5"/>
  <c r="G448" i="5"/>
  <c r="F448" i="5"/>
  <c r="N447" i="5"/>
  <c r="O447" i="5" s="1"/>
  <c r="L447" i="5"/>
  <c r="M447" i="5" s="1"/>
  <c r="K447" i="5"/>
  <c r="G447" i="5"/>
  <c r="F447" i="5"/>
  <c r="N446" i="5"/>
  <c r="O446" i="5" s="1"/>
  <c r="L446" i="5"/>
  <c r="M446" i="5" s="1"/>
  <c r="K446" i="5"/>
  <c r="G446" i="5"/>
  <c r="F446" i="5"/>
  <c r="N445" i="5"/>
  <c r="O445" i="5" s="1"/>
  <c r="L445" i="5"/>
  <c r="M445" i="5" s="1"/>
  <c r="K445" i="5"/>
  <c r="G445" i="5"/>
  <c r="F445" i="5"/>
  <c r="N444" i="5"/>
  <c r="O444" i="5" s="1"/>
  <c r="L444" i="5"/>
  <c r="M444" i="5" s="1"/>
  <c r="K444" i="5"/>
  <c r="G444" i="5"/>
  <c r="F444" i="5"/>
  <c r="N443" i="5"/>
  <c r="O443" i="5" s="1"/>
  <c r="L443" i="5"/>
  <c r="M443" i="5" s="1"/>
  <c r="K443" i="5"/>
  <c r="G443" i="5"/>
  <c r="F443" i="5"/>
  <c r="N442" i="5"/>
  <c r="O442" i="5" s="1"/>
  <c r="L442" i="5"/>
  <c r="M442" i="5" s="1"/>
  <c r="K442" i="5"/>
  <c r="G442" i="5"/>
  <c r="F442" i="5"/>
  <c r="N441" i="5"/>
  <c r="O441" i="5" s="1"/>
  <c r="L441" i="5"/>
  <c r="M441" i="5" s="1"/>
  <c r="K441" i="5"/>
  <c r="G441" i="5"/>
  <c r="F441" i="5"/>
  <c r="N440" i="5"/>
  <c r="O440" i="5" s="1"/>
  <c r="L440" i="5"/>
  <c r="M440" i="5" s="1"/>
  <c r="K440" i="5"/>
  <c r="G440" i="5"/>
  <c r="F440" i="5"/>
  <c r="N439" i="5"/>
  <c r="O439" i="5" s="1"/>
  <c r="L439" i="5"/>
  <c r="M439" i="5" s="1"/>
  <c r="K439" i="5"/>
  <c r="G439" i="5"/>
  <c r="F439" i="5"/>
  <c r="N438" i="5"/>
  <c r="O438" i="5" s="1"/>
  <c r="L438" i="5"/>
  <c r="M438" i="5" s="1"/>
  <c r="K438" i="5"/>
  <c r="G438" i="5"/>
  <c r="F438" i="5"/>
  <c r="N437" i="5"/>
  <c r="O437" i="5" s="1"/>
  <c r="L437" i="5"/>
  <c r="M437" i="5" s="1"/>
  <c r="K437" i="5"/>
  <c r="G437" i="5"/>
  <c r="F437" i="5"/>
  <c r="N436" i="5"/>
  <c r="O436" i="5" s="1"/>
  <c r="L436" i="5"/>
  <c r="M436" i="5" s="1"/>
  <c r="K436" i="5"/>
  <c r="G436" i="5"/>
  <c r="F436" i="5"/>
  <c r="N435" i="5"/>
  <c r="O435" i="5" s="1"/>
  <c r="L435" i="5"/>
  <c r="M435" i="5" s="1"/>
  <c r="K435" i="5"/>
  <c r="G435" i="5"/>
  <c r="F435" i="5"/>
  <c r="N434" i="5"/>
  <c r="O434" i="5" s="1"/>
  <c r="L434" i="5"/>
  <c r="M434" i="5" s="1"/>
  <c r="K434" i="5"/>
  <c r="G434" i="5"/>
  <c r="F434" i="5"/>
  <c r="N433" i="5"/>
  <c r="O433" i="5" s="1"/>
  <c r="L433" i="5"/>
  <c r="M433" i="5" s="1"/>
  <c r="K433" i="5"/>
  <c r="G433" i="5"/>
  <c r="F433" i="5"/>
  <c r="N432" i="5"/>
  <c r="O432" i="5" s="1"/>
  <c r="L432" i="5"/>
  <c r="M432" i="5" s="1"/>
  <c r="K432" i="5"/>
  <c r="G432" i="5"/>
  <c r="F432" i="5"/>
  <c r="N431" i="5"/>
  <c r="O431" i="5" s="1"/>
  <c r="L431" i="5"/>
  <c r="M431" i="5" s="1"/>
  <c r="K431" i="5"/>
  <c r="G431" i="5"/>
  <c r="F431" i="5"/>
  <c r="N430" i="5"/>
  <c r="O430" i="5" s="1"/>
  <c r="L430" i="5"/>
  <c r="M430" i="5" s="1"/>
  <c r="K430" i="5"/>
  <c r="G430" i="5"/>
  <c r="F430" i="5"/>
  <c r="N429" i="5"/>
  <c r="O429" i="5" s="1"/>
  <c r="L429" i="5"/>
  <c r="M429" i="5" s="1"/>
  <c r="K429" i="5"/>
  <c r="G429" i="5"/>
  <c r="F429" i="5"/>
  <c r="N428" i="5"/>
  <c r="O428" i="5" s="1"/>
  <c r="L428" i="5"/>
  <c r="M428" i="5" s="1"/>
  <c r="K428" i="5"/>
  <c r="G428" i="5"/>
  <c r="F428" i="5"/>
  <c r="N427" i="5"/>
  <c r="O427" i="5" s="1"/>
  <c r="L427" i="5"/>
  <c r="M427" i="5" s="1"/>
  <c r="K427" i="5"/>
  <c r="G427" i="5"/>
  <c r="F427" i="5"/>
  <c r="N426" i="5"/>
  <c r="O426" i="5" s="1"/>
  <c r="L426" i="5"/>
  <c r="M426" i="5" s="1"/>
  <c r="K426" i="5"/>
  <c r="G426" i="5"/>
  <c r="F426" i="5"/>
  <c r="N425" i="5"/>
  <c r="O425" i="5" s="1"/>
  <c r="L425" i="5"/>
  <c r="M425" i="5" s="1"/>
  <c r="K425" i="5"/>
  <c r="G425" i="5"/>
  <c r="F425" i="5"/>
  <c r="N424" i="5"/>
  <c r="O424" i="5" s="1"/>
  <c r="L424" i="5"/>
  <c r="M424" i="5" s="1"/>
  <c r="K424" i="5"/>
  <c r="G424" i="5"/>
  <c r="F424" i="5"/>
  <c r="N423" i="5"/>
  <c r="O423" i="5" s="1"/>
  <c r="L423" i="5"/>
  <c r="M423" i="5" s="1"/>
  <c r="K423" i="5"/>
  <c r="G423" i="5"/>
  <c r="F423" i="5"/>
  <c r="N422" i="5"/>
  <c r="O422" i="5" s="1"/>
  <c r="L422" i="5"/>
  <c r="M422" i="5" s="1"/>
  <c r="K422" i="5"/>
  <c r="G422" i="5"/>
  <c r="F422" i="5"/>
  <c r="N421" i="5"/>
  <c r="O421" i="5" s="1"/>
  <c r="L421" i="5"/>
  <c r="M421" i="5" s="1"/>
  <c r="K421" i="5"/>
  <c r="G421" i="5"/>
  <c r="F421" i="5"/>
  <c r="N420" i="5"/>
  <c r="O420" i="5" s="1"/>
  <c r="L420" i="5"/>
  <c r="M420" i="5" s="1"/>
  <c r="K420" i="5"/>
  <c r="G420" i="5"/>
  <c r="F420" i="5"/>
  <c r="N419" i="5"/>
  <c r="O419" i="5" s="1"/>
  <c r="L419" i="5"/>
  <c r="M419" i="5" s="1"/>
  <c r="K419" i="5"/>
  <c r="G419" i="5"/>
  <c r="F419" i="5"/>
  <c r="N418" i="5"/>
  <c r="O418" i="5" s="1"/>
  <c r="L418" i="5"/>
  <c r="M418" i="5" s="1"/>
  <c r="K418" i="5"/>
  <c r="G418" i="5"/>
  <c r="F418" i="5"/>
  <c r="N417" i="5"/>
  <c r="O417" i="5" s="1"/>
  <c r="L417" i="5"/>
  <c r="M417" i="5" s="1"/>
  <c r="K417" i="5"/>
  <c r="G417" i="5"/>
  <c r="F417" i="5"/>
  <c r="N416" i="5"/>
  <c r="O416" i="5" s="1"/>
  <c r="L416" i="5"/>
  <c r="M416" i="5" s="1"/>
  <c r="K416" i="5"/>
  <c r="G416" i="5"/>
  <c r="F416" i="5"/>
  <c r="N415" i="5"/>
  <c r="O415" i="5" s="1"/>
  <c r="L415" i="5"/>
  <c r="M415" i="5" s="1"/>
  <c r="K415" i="5"/>
  <c r="G415" i="5"/>
  <c r="F415" i="5"/>
  <c r="N414" i="5"/>
  <c r="O414" i="5" s="1"/>
  <c r="L414" i="5"/>
  <c r="M414" i="5" s="1"/>
  <c r="K414" i="5"/>
  <c r="G414" i="5"/>
  <c r="F414" i="5"/>
  <c r="N413" i="5"/>
  <c r="O413" i="5" s="1"/>
  <c r="L413" i="5"/>
  <c r="M413" i="5" s="1"/>
  <c r="K413" i="5"/>
  <c r="G413" i="5"/>
  <c r="F413" i="5"/>
  <c r="N412" i="5"/>
  <c r="O412" i="5" s="1"/>
  <c r="L412" i="5"/>
  <c r="M412" i="5" s="1"/>
  <c r="K412" i="5"/>
  <c r="G412" i="5"/>
  <c r="F412" i="5"/>
  <c r="N411" i="5"/>
  <c r="O411" i="5" s="1"/>
  <c r="L411" i="5"/>
  <c r="M411" i="5" s="1"/>
  <c r="K411" i="5"/>
  <c r="G411" i="5"/>
  <c r="F411" i="5"/>
  <c r="N410" i="5"/>
  <c r="O410" i="5" s="1"/>
  <c r="L410" i="5"/>
  <c r="M410" i="5" s="1"/>
  <c r="K410" i="5"/>
  <c r="G410" i="5"/>
  <c r="F410" i="5"/>
  <c r="N409" i="5"/>
  <c r="O409" i="5" s="1"/>
  <c r="L409" i="5"/>
  <c r="M409" i="5" s="1"/>
  <c r="K409" i="5"/>
  <c r="G409" i="5"/>
  <c r="F409" i="5"/>
  <c r="N408" i="5"/>
  <c r="O408" i="5" s="1"/>
  <c r="L408" i="5"/>
  <c r="M408" i="5" s="1"/>
  <c r="K408" i="5"/>
  <c r="G408" i="5"/>
  <c r="F408" i="5"/>
  <c r="N407" i="5"/>
  <c r="O407" i="5" s="1"/>
  <c r="L407" i="5"/>
  <c r="M407" i="5" s="1"/>
  <c r="K407" i="5"/>
  <c r="G407" i="5"/>
  <c r="F407" i="5"/>
  <c r="N406" i="5"/>
  <c r="O406" i="5" s="1"/>
  <c r="L406" i="5"/>
  <c r="M406" i="5" s="1"/>
  <c r="K406" i="5"/>
  <c r="G406" i="5"/>
  <c r="F406" i="5"/>
  <c r="N405" i="5"/>
  <c r="O405" i="5" s="1"/>
  <c r="L405" i="5"/>
  <c r="M405" i="5" s="1"/>
  <c r="K405" i="5"/>
  <c r="G405" i="5"/>
  <c r="F405" i="5"/>
  <c r="N404" i="5"/>
  <c r="O404" i="5" s="1"/>
  <c r="L404" i="5"/>
  <c r="M404" i="5" s="1"/>
  <c r="K404" i="5"/>
  <c r="G404" i="5"/>
  <c r="F404" i="5"/>
  <c r="N403" i="5"/>
  <c r="O403" i="5" s="1"/>
  <c r="L403" i="5"/>
  <c r="M403" i="5" s="1"/>
  <c r="K403" i="5"/>
  <c r="G403" i="5"/>
  <c r="F403" i="5"/>
  <c r="N402" i="5"/>
  <c r="O402" i="5" s="1"/>
  <c r="L402" i="5"/>
  <c r="M402" i="5" s="1"/>
  <c r="K402" i="5"/>
  <c r="G402" i="5"/>
  <c r="F402" i="5"/>
  <c r="N401" i="5"/>
  <c r="O401" i="5" s="1"/>
  <c r="L401" i="5"/>
  <c r="M401" i="5" s="1"/>
  <c r="K401" i="5"/>
  <c r="G401" i="5"/>
  <c r="F401" i="5"/>
  <c r="N400" i="5"/>
  <c r="O400" i="5" s="1"/>
  <c r="L400" i="5"/>
  <c r="M400" i="5" s="1"/>
  <c r="K400" i="5"/>
  <c r="G400" i="5"/>
  <c r="F400" i="5"/>
  <c r="N399" i="5"/>
  <c r="O399" i="5" s="1"/>
  <c r="L399" i="5"/>
  <c r="M399" i="5" s="1"/>
  <c r="K399" i="5"/>
  <c r="G399" i="5"/>
  <c r="F399" i="5"/>
  <c r="N398" i="5"/>
  <c r="O398" i="5" s="1"/>
  <c r="L398" i="5"/>
  <c r="M398" i="5" s="1"/>
  <c r="K398" i="5"/>
  <c r="G398" i="5"/>
  <c r="F398" i="5"/>
  <c r="N397" i="5"/>
  <c r="O397" i="5" s="1"/>
  <c r="L397" i="5"/>
  <c r="M397" i="5" s="1"/>
  <c r="K397" i="5"/>
  <c r="G397" i="5"/>
  <c r="F397" i="5"/>
  <c r="N396" i="5"/>
  <c r="O396" i="5" s="1"/>
  <c r="L396" i="5"/>
  <c r="M396" i="5" s="1"/>
  <c r="K396" i="5"/>
  <c r="G396" i="5"/>
  <c r="F396" i="5"/>
  <c r="N395" i="5"/>
  <c r="O395" i="5" s="1"/>
  <c r="L395" i="5"/>
  <c r="M395" i="5" s="1"/>
  <c r="K395" i="5"/>
  <c r="G395" i="5"/>
  <c r="F395" i="5"/>
  <c r="N394" i="5"/>
  <c r="O394" i="5" s="1"/>
  <c r="L394" i="5"/>
  <c r="M394" i="5" s="1"/>
  <c r="K394" i="5"/>
  <c r="G394" i="5"/>
  <c r="F394" i="5"/>
  <c r="N393" i="5"/>
  <c r="O393" i="5" s="1"/>
  <c r="L393" i="5"/>
  <c r="M393" i="5" s="1"/>
  <c r="K393" i="5"/>
  <c r="G393" i="5"/>
  <c r="F393" i="5"/>
  <c r="N392" i="5"/>
  <c r="O392" i="5" s="1"/>
  <c r="L392" i="5"/>
  <c r="M392" i="5" s="1"/>
  <c r="K392" i="5"/>
  <c r="G392" i="5"/>
  <c r="F392" i="5"/>
  <c r="N391" i="5"/>
  <c r="O391" i="5" s="1"/>
  <c r="L391" i="5"/>
  <c r="M391" i="5" s="1"/>
  <c r="K391" i="5"/>
  <c r="G391" i="5"/>
  <c r="F391" i="5"/>
  <c r="N390" i="5"/>
  <c r="O390" i="5" s="1"/>
  <c r="L390" i="5"/>
  <c r="M390" i="5" s="1"/>
  <c r="K390" i="5"/>
  <c r="G390" i="5"/>
  <c r="F390" i="5"/>
  <c r="N389" i="5"/>
  <c r="O389" i="5" s="1"/>
  <c r="L389" i="5"/>
  <c r="M389" i="5" s="1"/>
  <c r="K389" i="5"/>
  <c r="G389" i="5"/>
  <c r="F389" i="5"/>
  <c r="N388" i="5"/>
  <c r="O388" i="5" s="1"/>
  <c r="L388" i="5"/>
  <c r="M388" i="5" s="1"/>
  <c r="K388" i="5"/>
  <c r="G388" i="5"/>
  <c r="F388" i="5"/>
  <c r="N387" i="5"/>
  <c r="O387" i="5" s="1"/>
  <c r="L387" i="5"/>
  <c r="M387" i="5" s="1"/>
  <c r="K387" i="5"/>
  <c r="G387" i="5"/>
  <c r="F387" i="5"/>
  <c r="N386" i="5"/>
  <c r="O386" i="5" s="1"/>
  <c r="L386" i="5"/>
  <c r="M386" i="5" s="1"/>
  <c r="K386" i="5"/>
  <c r="G386" i="5"/>
  <c r="F386" i="5"/>
  <c r="N385" i="5"/>
  <c r="O385" i="5" s="1"/>
  <c r="L385" i="5"/>
  <c r="M385" i="5" s="1"/>
  <c r="K385" i="5"/>
  <c r="G385" i="5"/>
  <c r="F385" i="5"/>
  <c r="N384" i="5"/>
  <c r="O384" i="5" s="1"/>
  <c r="L384" i="5"/>
  <c r="M384" i="5" s="1"/>
  <c r="K384" i="5"/>
  <c r="G384" i="5"/>
  <c r="F384" i="5"/>
  <c r="N383" i="5"/>
  <c r="O383" i="5" s="1"/>
  <c r="L383" i="5"/>
  <c r="M383" i="5" s="1"/>
  <c r="K383" i="5"/>
  <c r="G383" i="5"/>
  <c r="F383" i="5"/>
  <c r="N382" i="5"/>
  <c r="O382" i="5" s="1"/>
  <c r="L382" i="5"/>
  <c r="M382" i="5" s="1"/>
  <c r="K382" i="5"/>
  <c r="G382" i="5"/>
  <c r="F382" i="5"/>
  <c r="N381" i="5"/>
  <c r="O381" i="5" s="1"/>
  <c r="L381" i="5"/>
  <c r="M381" i="5" s="1"/>
  <c r="K381" i="5"/>
  <c r="G381" i="5"/>
  <c r="F381" i="5"/>
  <c r="N380" i="5"/>
  <c r="O380" i="5" s="1"/>
  <c r="L380" i="5"/>
  <c r="M380" i="5" s="1"/>
  <c r="K380" i="5"/>
  <c r="G380" i="5"/>
  <c r="F380" i="5"/>
  <c r="N379" i="5"/>
  <c r="O379" i="5" s="1"/>
  <c r="L379" i="5"/>
  <c r="M379" i="5" s="1"/>
  <c r="K379" i="5"/>
  <c r="G379" i="5"/>
  <c r="F379" i="5"/>
  <c r="N378" i="5"/>
  <c r="O378" i="5" s="1"/>
  <c r="L378" i="5"/>
  <c r="M378" i="5" s="1"/>
  <c r="K378" i="5"/>
  <c r="G378" i="5"/>
  <c r="F378" i="5"/>
  <c r="N377" i="5"/>
  <c r="O377" i="5" s="1"/>
  <c r="L377" i="5"/>
  <c r="M377" i="5" s="1"/>
  <c r="K377" i="5"/>
  <c r="G377" i="5"/>
  <c r="F377" i="5"/>
  <c r="N376" i="5"/>
  <c r="O376" i="5" s="1"/>
  <c r="L376" i="5"/>
  <c r="M376" i="5" s="1"/>
  <c r="K376" i="5"/>
  <c r="G376" i="5"/>
  <c r="F376" i="5"/>
  <c r="N375" i="5"/>
  <c r="O375" i="5" s="1"/>
  <c r="L375" i="5"/>
  <c r="M375" i="5" s="1"/>
  <c r="K375" i="5"/>
  <c r="G375" i="5"/>
  <c r="F375" i="5"/>
  <c r="N374" i="5"/>
  <c r="O374" i="5" s="1"/>
  <c r="L374" i="5"/>
  <c r="M374" i="5" s="1"/>
  <c r="K374" i="5"/>
  <c r="G374" i="5"/>
  <c r="F374" i="5"/>
  <c r="N373" i="5"/>
  <c r="O373" i="5" s="1"/>
  <c r="L373" i="5"/>
  <c r="M373" i="5" s="1"/>
  <c r="K373" i="5"/>
  <c r="G373" i="5"/>
  <c r="F373" i="5"/>
  <c r="N372" i="5"/>
  <c r="O372" i="5" s="1"/>
  <c r="L372" i="5"/>
  <c r="M372" i="5" s="1"/>
  <c r="K372" i="5"/>
  <c r="G372" i="5"/>
  <c r="F372" i="5"/>
  <c r="N371" i="5"/>
  <c r="O371" i="5" s="1"/>
  <c r="L371" i="5"/>
  <c r="M371" i="5" s="1"/>
  <c r="K371" i="5"/>
  <c r="G371" i="5"/>
  <c r="F371" i="5"/>
  <c r="N370" i="5"/>
  <c r="O370" i="5" s="1"/>
  <c r="L370" i="5"/>
  <c r="M370" i="5" s="1"/>
  <c r="K370" i="5"/>
  <c r="G370" i="5"/>
  <c r="F370" i="5"/>
  <c r="N369" i="5"/>
  <c r="O369" i="5" s="1"/>
  <c r="L369" i="5"/>
  <c r="M369" i="5" s="1"/>
  <c r="K369" i="5"/>
  <c r="G369" i="5"/>
  <c r="F369" i="5"/>
  <c r="N368" i="5"/>
  <c r="O368" i="5" s="1"/>
  <c r="L368" i="5"/>
  <c r="M368" i="5" s="1"/>
  <c r="K368" i="5"/>
  <c r="G368" i="5"/>
  <c r="F368" i="5"/>
  <c r="N367" i="5"/>
  <c r="O367" i="5" s="1"/>
  <c r="L367" i="5"/>
  <c r="M367" i="5" s="1"/>
  <c r="K367" i="5"/>
  <c r="G367" i="5"/>
  <c r="F367" i="5"/>
  <c r="N366" i="5"/>
  <c r="O366" i="5" s="1"/>
  <c r="L366" i="5"/>
  <c r="M366" i="5" s="1"/>
  <c r="K366" i="5"/>
  <c r="G366" i="5"/>
  <c r="F366" i="5"/>
  <c r="N365" i="5"/>
  <c r="O365" i="5" s="1"/>
  <c r="L365" i="5"/>
  <c r="M365" i="5" s="1"/>
  <c r="K365" i="5"/>
  <c r="G365" i="5"/>
  <c r="F365" i="5"/>
  <c r="N364" i="5"/>
  <c r="O364" i="5" s="1"/>
  <c r="L364" i="5"/>
  <c r="M364" i="5" s="1"/>
  <c r="K364" i="5"/>
  <c r="G364" i="5"/>
  <c r="F364" i="5"/>
  <c r="N363" i="5"/>
  <c r="O363" i="5" s="1"/>
  <c r="L363" i="5"/>
  <c r="M363" i="5" s="1"/>
  <c r="K363" i="5"/>
  <c r="G363" i="5"/>
  <c r="F363" i="5"/>
  <c r="N362" i="5"/>
  <c r="O362" i="5" s="1"/>
  <c r="L362" i="5"/>
  <c r="M362" i="5" s="1"/>
  <c r="K362" i="5"/>
  <c r="G362" i="5"/>
  <c r="F362" i="5"/>
  <c r="N361" i="5"/>
  <c r="O361" i="5" s="1"/>
  <c r="L361" i="5"/>
  <c r="M361" i="5" s="1"/>
  <c r="K361" i="5"/>
  <c r="G361" i="5"/>
  <c r="F361" i="5"/>
  <c r="N360" i="5"/>
  <c r="O360" i="5" s="1"/>
  <c r="L360" i="5"/>
  <c r="M360" i="5" s="1"/>
  <c r="K360" i="5"/>
  <c r="G360" i="5"/>
  <c r="F360" i="5"/>
  <c r="N359" i="5"/>
  <c r="O359" i="5" s="1"/>
  <c r="L359" i="5"/>
  <c r="M359" i="5" s="1"/>
  <c r="K359" i="5"/>
  <c r="G359" i="5"/>
  <c r="F359" i="5"/>
  <c r="N358" i="5"/>
  <c r="O358" i="5" s="1"/>
  <c r="L358" i="5"/>
  <c r="M358" i="5" s="1"/>
  <c r="K358" i="5"/>
  <c r="G358" i="5"/>
  <c r="F358" i="5"/>
  <c r="N357" i="5"/>
  <c r="O357" i="5" s="1"/>
  <c r="L357" i="5"/>
  <c r="M357" i="5" s="1"/>
  <c r="K357" i="5"/>
  <c r="G357" i="5"/>
  <c r="F357" i="5"/>
  <c r="N356" i="5"/>
  <c r="O356" i="5" s="1"/>
  <c r="L356" i="5"/>
  <c r="M356" i="5" s="1"/>
  <c r="K356" i="5"/>
  <c r="G356" i="5"/>
  <c r="F356" i="5"/>
  <c r="N355" i="5"/>
  <c r="O355" i="5" s="1"/>
  <c r="L355" i="5"/>
  <c r="M355" i="5" s="1"/>
  <c r="K355" i="5"/>
  <c r="G355" i="5"/>
  <c r="F355" i="5"/>
  <c r="N354" i="5"/>
  <c r="O354" i="5" s="1"/>
  <c r="L354" i="5"/>
  <c r="M354" i="5" s="1"/>
  <c r="K354" i="5"/>
  <c r="G354" i="5"/>
  <c r="F354" i="5"/>
  <c r="N353" i="5"/>
  <c r="O353" i="5" s="1"/>
  <c r="L353" i="5"/>
  <c r="M353" i="5" s="1"/>
  <c r="K353" i="5"/>
  <c r="G353" i="5"/>
  <c r="F353" i="5"/>
  <c r="N352" i="5"/>
  <c r="O352" i="5" s="1"/>
  <c r="L352" i="5"/>
  <c r="M352" i="5" s="1"/>
  <c r="K352" i="5"/>
  <c r="G352" i="5"/>
  <c r="F352" i="5"/>
  <c r="N351" i="5"/>
  <c r="O351" i="5" s="1"/>
  <c r="L351" i="5"/>
  <c r="M351" i="5" s="1"/>
  <c r="K351" i="5"/>
  <c r="G351" i="5"/>
  <c r="F351" i="5"/>
  <c r="N350" i="5"/>
  <c r="O350" i="5" s="1"/>
  <c r="L350" i="5"/>
  <c r="M350" i="5" s="1"/>
  <c r="K350" i="5"/>
  <c r="G350" i="5"/>
  <c r="F350" i="5"/>
  <c r="N349" i="5"/>
  <c r="O349" i="5" s="1"/>
  <c r="L349" i="5"/>
  <c r="M349" i="5" s="1"/>
  <c r="K349" i="5"/>
  <c r="G349" i="5"/>
  <c r="F349" i="5"/>
  <c r="N348" i="5"/>
  <c r="O348" i="5" s="1"/>
  <c r="L348" i="5"/>
  <c r="M348" i="5" s="1"/>
  <c r="K348" i="5"/>
  <c r="G348" i="5"/>
  <c r="F348" i="5"/>
  <c r="N347" i="5"/>
  <c r="O347" i="5" s="1"/>
  <c r="L347" i="5"/>
  <c r="M347" i="5" s="1"/>
  <c r="K347" i="5"/>
  <c r="G347" i="5"/>
  <c r="F347" i="5"/>
  <c r="N346" i="5"/>
  <c r="O346" i="5" s="1"/>
  <c r="L346" i="5"/>
  <c r="M346" i="5" s="1"/>
  <c r="K346" i="5"/>
  <c r="G346" i="5"/>
  <c r="F346" i="5"/>
  <c r="N345" i="5"/>
  <c r="O345" i="5" s="1"/>
  <c r="L345" i="5"/>
  <c r="M345" i="5" s="1"/>
  <c r="K345" i="5"/>
  <c r="G345" i="5"/>
  <c r="F345" i="5"/>
  <c r="N344" i="5"/>
  <c r="O344" i="5" s="1"/>
  <c r="L344" i="5"/>
  <c r="M344" i="5" s="1"/>
  <c r="K344" i="5"/>
  <c r="G344" i="5"/>
  <c r="F344" i="5"/>
  <c r="N343" i="5"/>
  <c r="O343" i="5" s="1"/>
  <c r="L343" i="5"/>
  <c r="M343" i="5" s="1"/>
  <c r="K343" i="5"/>
  <c r="G343" i="5"/>
  <c r="F343" i="5"/>
  <c r="N342" i="5"/>
  <c r="O342" i="5" s="1"/>
  <c r="L342" i="5"/>
  <c r="M342" i="5" s="1"/>
  <c r="K342" i="5"/>
  <c r="G342" i="5"/>
  <c r="F342" i="5"/>
  <c r="N341" i="5"/>
  <c r="O341" i="5" s="1"/>
  <c r="L341" i="5"/>
  <c r="M341" i="5" s="1"/>
  <c r="K341" i="5"/>
  <c r="G341" i="5"/>
  <c r="F341" i="5"/>
  <c r="N340" i="5"/>
  <c r="O340" i="5" s="1"/>
  <c r="L340" i="5"/>
  <c r="M340" i="5" s="1"/>
  <c r="K340" i="5"/>
  <c r="G340" i="5"/>
  <c r="F340" i="5"/>
  <c r="N339" i="5"/>
  <c r="O339" i="5" s="1"/>
  <c r="L339" i="5"/>
  <c r="M339" i="5" s="1"/>
  <c r="K339" i="5"/>
  <c r="G339" i="5"/>
  <c r="F339" i="5"/>
  <c r="N338" i="5"/>
  <c r="O338" i="5" s="1"/>
  <c r="L338" i="5"/>
  <c r="M338" i="5" s="1"/>
  <c r="K338" i="5"/>
  <c r="G338" i="5"/>
  <c r="F338" i="5"/>
  <c r="N337" i="5"/>
  <c r="O337" i="5" s="1"/>
  <c r="L337" i="5"/>
  <c r="M337" i="5" s="1"/>
  <c r="K337" i="5"/>
  <c r="G337" i="5"/>
  <c r="F337" i="5"/>
  <c r="N336" i="5"/>
  <c r="O336" i="5" s="1"/>
  <c r="L336" i="5"/>
  <c r="M336" i="5" s="1"/>
  <c r="K336" i="5"/>
  <c r="G336" i="5"/>
  <c r="F336" i="5"/>
  <c r="N335" i="5"/>
  <c r="O335" i="5" s="1"/>
  <c r="L335" i="5"/>
  <c r="M335" i="5" s="1"/>
  <c r="K335" i="5"/>
  <c r="G335" i="5"/>
  <c r="F335" i="5"/>
  <c r="N334" i="5"/>
  <c r="O334" i="5" s="1"/>
  <c r="L334" i="5"/>
  <c r="M334" i="5" s="1"/>
  <c r="K334" i="5"/>
  <c r="G334" i="5"/>
  <c r="F334" i="5"/>
  <c r="N333" i="5"/>
  <c r="O333" i="5" s="1"/>
  <c r="L333" i="5"/>
  <c r="M333" i="5" s="1"/>
  <c r="K333" i="5"/>
  <c r="G333" i="5"/>
  <c r="F333" i="5"/>
  <c r="N332" i="5"/>
  <c r="O332" i="5" s="1"/>
  <c r="L332" i="5"/>
  <c r="M332" i="5" s="1"/>
  <c r="K332" i="5"/>
  <c r="G332" i="5"/>
  <c r="F332" i="5"/>
  <c r="N331" i="5"/>
  <c r="O331" i="5" s="1"/>
  <c r="L331" i="5"/>
  <c r="M331" i="5" s="1"/>
  <c r="K331" i="5"/>
  <c r="G331" i="5"/>
  <c r="F331" i="5"/>
  <c r="N330" i="5"/>
  <c r="O330" i="5" s="1"/>
  <c r="L330" i="5"/>
  <c r="M330" i="5" s="1"/>
  <c r="K330" i="5"/>
  <c r="G330" i="5"/>
  <c r="F330" i="5"/>
  <c r="N329" i="5"/>
  <c r="O329" i="5" s="1"/>
  <c r="L329" i="5"/>
  <c r="M329" i="5" s="1"/>
  <c r="K329" i="5"/>
  <c r="G329" i="5"/>
  <c r="F329" i="5"/>
  <c r="N328" i="5"/>
  <c r="O328" i="5" s="1"/>
  <c r="L328" i="5"/>
  <c r="M328" i="5" s="1"/>
  <c r="K328" i="5"/>
  <c r="G328" i="5"/>
  <c r="F328" i="5"/>
  <c r="N327" i="5"/>
  <c r="O327" i="5" s="1"/>
  <c r="L327" i="5"/>
  <c r="M327" i="5" s="1"/>
  <c r="K327" i="5"/>
  <c r="G327" i="5"/>
  <c r="F327" i="5"/>
  <c r="N326" i="5"/>
  <c r="O326" i="5" s="1"/>
  <c r="L326" i="5"/>
  <c r="M326" i="5" s="1"/>
  <c r="K326" i="5"/>
  <c r="G326" i="5"/>
  <c r="F326" i="5"/>
  <c r="N325" i="5"/>
  <c r="O325" i="5" s="1"/>
  <c r="L325" i="5"/>
  <c r="M325" i="5" s="1"/>
  <c r="K325" i="5"/>
  <c r="G325" i="5"/>
  <c r="F325" i="5"/>
  <c r="N324" i="5"/>
  <c r="O324" i="5" s="1"/>
  <c r="L324" i="5"/>
  <c r="M324" i="5" s="1"/>
  <c r="K324" i="5"/>
  <c r="G324" i="5"/>
  <c r="F324" i="5"/>
  <c r="N323" i="5"/>
  <c r="O323" i="5" s="1"/>
  <c r="L323" i="5"/>
  <c r="M323" i="5" s="1"/>
  <c r="K323" i="5"/>
  <c r="G323" i="5"/>
  <c r="F323" i="5"/>
  <c r="N322" i="5"/>
  <c r="O322" i="5" s="1"/>
  <c r="L322" i="5"/>
  <c r="M322" i="5" s="1"/>
  <c r="K322" i="5"/>
  <c r="G322" i="5"/>
  <c r="F322" i="5"/>
  <c r="N321" i="5"/>
  <c r="O321" i="5" s="1"/>
  <c r="L321" i="5"/>
  <c r="M321" i="5" s="1"/>
  <c r="K321" i="5"/>
  <c r="G321" i="5"/>
  <c r="F321" i="5"/>
  <c r="N320" i="5"/>
  <c r="O320" i="5" s="1"/>
  <c r="L320" i="5"/>
  <c r="M320" i="5" s="1"/>
  <c r="K320" i="5"/>
  <c r="G320" i="5"/>
  <c r="F320" i="5"/>
  <c r="N319" i="5"/>
  <c r="O319" i="5" s="1"/>
  <c r="L319" i="5"/>
  <c r="M319" i="5" s="1"/>
  <c r="K319" i="5"/>
  <c r="G319" i="5"/>
  <c r="F319" i="5"/>
  <c r="N318" i="5"/>
  <c r="O318" i="5" s="1"/>
  <c r="L318" i="5"/>
  <c r="M318" i="5" s="1"/>
  <c r="K318" i="5"/>
  <c r="G318" i="5"/>
  <c r="F318" i="5"/>
  <c r="N317" i="5"/>
  <c r="O317" i="5" s="1"/>
  <c r="L317" i="5"/>
  <c r="M317" i="5" s="1"/>
  <c r="K317" i="5"/>
  <c r="G317" i="5"/>
  <c r="F317" i="5"/>
  <c r="N316" i="5"/>
  <c r="O316" i="5" s="1"/>
  <c r="L316" i="5"/>
  <c r="M316" i="5" s="1"/>
  <c r="K316" i="5"/>
  <c r="G316" i="5"/>
  <c r="F316" i="5"/>
  <c r="N315" i="5"/>
  <c r="O315" i="5" s="1"/>
  <c r="L315" i="5"/>
  <c r="M315" i="5" s="1"/>
  <c r="K315" i="5"/>
  <c r="G315" i="5"/>
  <c r="F315" i="5"/>
  <c r="N314" i="5"/>
  <c r="O314" i="5" s="1"/>
  <c r="L314" i="5"/>
  <c r="M314" i="5" s="1"/>
  <c r="K314" i="5"/>
  <c r="G314" i="5"/>
  <c r="F314" i="5"/>
  <c r="N313" i="5"/>
  <c r="O313" i="5" s="1"/>
  <c r="L313" i="5"/>
  <c r="M313" i="5" s="1"/>
  <c r="K313" i="5"/>
  <c r="G313" i="5"/>
  <c r="F313" i="5"/>
  <c r="N312" i="5"/>
  <c r="O312" i="5" s="1"/>
  <c r="L312" i="5"/>
  <c r="M312" i="5" s="1"/>
  <c r="K312" i="5"/>
  <c r="G312" i="5"/>
  <c r="F312" i="5"/>
  <c r="N311" i="5"/>
  <c r="O311" i="5" s="1"/>
  <c r="L311" i="5"/>
  <c r="M311" i="5" s="1"/>
  <c r="K311" i="5"/>
  <c r="G311" i="5"/>
  <c r="F311" i="5"/>
  <c r="N310" i="5"/>
  <c r="O310" i="5" s="1"/>
  <c r="L310" i="5"/>
  <c r="M310" i="5" s="1"/>
  <c r="K310" i="5"/>
  <c r="G310" i="5"/>
  <c r="F310" i="5"/>
  <c r="N309" i="5"/>
  <c r="O309" i="5" s="1"/>
  <c r="L309" i="5"/>
  <c r="M309" i="5" s="1"/>
  <c r="K309" i="5"/>
  <c r="G309" i="5"/>
  <c r="F309" i="5"/>
  <c r="N308" i="5"/>
  <c r="O308" i="5" s="1"/>
  <c r="L308" i="5"/>
  <c r="M308" i="5" s="1"/>
  <c r="K308" i="5"/>
  <c r="G308" i="5"/>
  <c r="F308" i="5"/>
  <c r="N307" i="5"/>
  <c r="O307" i="5" s="1"/>
  <c r="L307" i="5"/>
  <c r="M307" i="5" s="1"/>
  <c r="K307" i="5"/>
  <c r="G307" i="5"/>
  <c r="F307" i="5"/>
  <c r="N306" i="5"/>
  <c r="O306" i="5" s="1"/>
  <c r="L306" i="5"/>
  <c r="M306" i="5" s="1"/>
  <c r="K306" i="5"/>
  <c r="G306" i="5"/>
  <c r="F306" i="5"/>
  <c r="N305" i="5"/>
  <c r="O305" i="5" s="1"/>
  <c r="L305" i="5"/>
  <c r="M305" i="5" s="1"/>
  <c r="K305" i="5"/>
  <c r="G305" i="5"/>
  <c r="F305" i="5"/>
  <c r="N304" i="5"/>
  <c r="O304" i="5" s="1"/>
  <c r="L304" i="5"/>
  <c r="M304" i="5" s="1"/>
  <c r="K304" i="5"/>
  <c r="G304" i="5"/>
  <c r="F304" i="5"/>
  <c r="N303" i="5"/>
  <c r="O303" i="5" s="1"/>
  <c r="L303" i="5"/>
  <c r="M303" i="5" s="1"/>
  <c r="K303" i="5"/>
  <c r="G303" i="5"/>
  <c r="F303" i="5"/>
  <c r="N302" i="5"/>
  <c r="O302" i="5" s="1"/>
  <c r="L302" i="5"/>
  <c r="M302" i="5" s="1"/>
  <c r="K302" i="5"/>
  <c r="G302" i="5"/>
  <c r="F302" i="5"/>
  <c r="N301" i="5"/>
  <c r="O301" i="5" s="1"/>
  <c r="L301" i="5"/>
  <c r="M301" i="5" s="1"/>
  <c r="K301" i="5"/>
  <c r="G301" i="5"/>
  <c r="F301" i="5"/>
  <c r="N300" i="5"/>
  <c r="O300" i="5" s="1"/>
  <c r="L300" i="5"/>
  <c r="M300" i="5" s="1"/>
  <c r="K300" i="5"/>
  <c r="G300" i="5"/>
  <c r="F300" i="5"/>
  <c r="N299" i="5"/>
  <c r="O299" i="5" s="1"/>
  <c r="L299" i="5"/>
  <c r="M299" i="5" s="1"/>
  <c r="K299" i="5"/>
  <c r="G299" i="5"/>
  <c r="F299" i="5"/>
  <c r="N298" i="5"/>
  <c r="O298" i="5" s="1"/>
  <c r="L298" i="5"/>
  <c r="M298" i="5" s="1"/>
  <c r="K298" i="5"/>
  <c r="G298" i="5"/>
  <c r="F298" i="5"/>
  <c r="N297" i="5"/>
  <c r="O297" i="5" s="1"/>
  <c r="L297" i="5"/>
  <c r="M297" i="5" s="1"/>
  <c r="K297" i="5"/>
  <c r="G297" i="5"/>
  <c r="F297" i="5"/>
  <c r="N296" i="5"/>
  <c r="O296" i="5" s="1"/>
  <c r="L296" i="5"/>
  <c r="M296" i="5" s="1"/>
  <c r="K296" i="5"/>
  <c r="G296" i="5"/>
  <c r="F296" i="5"/>
  <c r="N295" i="5"/>
  <c r="O295" i="5" s="1"/>
  <c r="L295" i="5"/>
  <c r="M295" i="5" s="1"/>
  <c r="K295" i="5"/>
  <c r="G295" i="5"/>
  <c r="F295" i="5"/>
  <c r="N294" i="5"/>
  <c r="O294" i="5" s="1"/>
  <c r="L294" i="5"/>
  <c r="M294" i="5" s="1"/>
  <c r="K294" i="5"/>
  <c r="G294" i="5"/>
  <c r="F294" i="5"/>
  <c r="N293" i="5"/>
  <c r="O293" i="5" s="1"/>
  <c r="L293" i="5"/>
  <c r="M293" i="5" s="1"/>
  <c r="K293" i="5"/>
  <c r="G293" i="5"/>
  <c r="F293" i="5"/>
  <c r="N292" i="5"/>
  <c r="O292" i="5" s="1"/>
  <c r="L292" i="5"/>
  <c r="M292" i="5" s="1"/>
  <c r="K292" i="5"/>
  <c r="G292" i="5"/>
  <c r="F292" i="5"/>
  <c r="N291" i="5"/>
  <c r="O291" i="5" s="1"/>
  <c r="L291" i="5"/>
  <c r="M291" i="5" s="1"/>
  <c r="K291" i="5"/>
  <c r="G291" i="5"/>
  <c r="F291" i="5"/>
  <c r="N290" i="5"/>
  <c r="O290" i="5" s="1"/>
  <c r="L290" i="5"/>
  <c r="M290" i="5" s="1"/>
  <c r="K290" i="5"/>
  <c r="G290" i="5"/>
  <c r="F290" i="5"/>
  <c r="N289" i="5"/>
  <c r="O289" i="5" s="1"/>
  <c r="L289" i="5"/>
  <c r="M289" i="5" s="1"/>
  <c r="K289" i="5"/>
  <c r="G289" i="5"/>
  <c r="F289" i="5"/>
  <c r="N288" i="5"/>
  <c r="O288" i="5" s="1"/>
  <c r="L288" i="5"/>
  <c r="M288" i="5" s="1"/>
  <c r="K288" i="5"/>
  <c r="G288" i="5"/>
  <c r="F288" i="5"/>
  <c r="N287" i="5"/>
  <c r="O287" i="5" s="1"/>
  <c r="L287" i="5"/>
  <c r="M287" i="5" s="1"/>
  <c r="K287" i="5"/>
  <c r="G287" i="5"/>
  <c r="F287" i="5"/>
  <c r="N286" i="5"/>
  <c r="O286" i="5" s="1"/>
  <c r="L286" i="5"/>
  <c r="M286" i="5" s="1"/>
  <c r="K286" i="5"/>
  <c r="G286" i="5"/>
  <c r="F286" i="5"/>
  <c r="N285" i="5"/>
  <c r="O285" i="5" s="1"/>
  <c r="L285" i="5"/>
  <c r="M285" i="5" s="1"/>
  <c r="K285" i="5"/>
  <c r="G285" i="5"/>
  <c r="F285" i="5"/>
  <c r="N284" i="5"/>
  <c r="O284" i="5" s="1"/>
  <c r="L284" i="5"/>
  <c r="M284" i="5" s="1"/>
  <c r="K284" i="5"/>
  <c r="G284" i="5"/>
  <c r="F284" i="5"/>
  <c r="N283" i="5"/>
  <c r="O283" i="5" s="1"/>
  <c r="L283" i="5"/>
  <c r="M283" i="5" s="1"/>
  <c r="K283" i="5"/>
  <c r="G283" i="5"/>
  <c r="F283" i="5"/>
  <c r="N282" i="5"/>
  <c r="O282" i="5" s="1"/>
  <c r="L282" i="5"/>
  <c r="M282" i="5" s="1"/>
  <c r="K282" i="5"/>
  <c r="G282" i="5"/>
  <c r="F282" i="5"/>
  <c r="N281" i="5"/>
  <c r="O281" i="5" s="1"/>
  <c r="L281" i="5"/>
  <c r="M281" i="5" s="1"/>
  <c r="K281" i="5"/>
  <c r="G281" i="5"/>
  <c r="F281" i="5"/>
  <c r="N280" i="5"/>
  <c r="O280" i="5" s="1"/>
  <c r="L280" i="5"/>
  <c r="M280" i="5" s="1"/>
  <c r="K280" i="5"/>
  <c r="G280" i="5"/>
  <c r="F280" i="5"/>
  <c r="N279" i="5"/>
  <c r="O279" i="5" s="1"/>
  <c r="L279" i="5"/>
  <c r="M279" i="5" s="1"/>
  <c r="K279" i="5"/>
  <c r="G279" i="5"/>
  <c r="F279" i="5"/>
  <c r="N278" i="5"/>
  <c r="O278" i="5" s="1"/>
  <c r="L278" i="5"/>
  <c r="M278" i="5" s="1"/>
  <c r="K278" i="5"/>
  <c r="G278" i="5"/>
  <c r="F278" i="5"/>
  <c r="N277" i="5"/>
  <c r="O277" i="5" s="1"/>
  <c r="L277" i="5"/>
  <c r="M277" i="5" s="1"/>
  <c r="K277" i="5"/>
  <c r="G277" i="5"/>
  <c r="F277" i="5"/>
  <c r="N276" i="5"/>
  <c r="O276" i="5" s="1"/>
  <c r="L276" i="5"/>
  <c r="M276" i="5" s="1"/>
  <c r="K276" i="5"/>
  <c r="G276" i="5"/>
  <c r="F276" i="5"/>
  <c r="N275" i="5"/>
  <c r="O275" i="5" s="1"/>
  <c r="L275" i="5"/>
  <c r="M275" i="5" s="1"/>
  <c r="K275" i="5"/>
  <c r="G275" i="5"/>
  <c r="F275" i="5"/>
  <c r="N274" i="5"/>
  <c r="O274" i="5" s="1"/>
  <c r="L274" i="5"/>
  <c r="M274" i="5" s="1"/>
  <c r="K274" i="5"/>
  <c r="G274" i="5"/>
  <c r="F274" i="5"/>
  <c r="N273" i="5"/>
  <c r="O273" i="5" s="1"/>
  <c r="L273" i="5"/>
  <c r="M273" i="5" s="1"/>
  <c r="K273" i="5"/>
  <c r="G273" i="5"/>
  <c r="F273" i="5"/>
  <c r="N272" i="5"/>
  <c r="O272" i="5" s="1"/>
  <c r="L272" i="5"/>
  <c r="M272" i="5" s="1"/>
  <c r="K272" i="5"/>
  <c r="G272" i="5"/>
  <c r="F272" i="5"/>
  <c r="N271" i="5"/>
  <c r="O271" i="5" s="1"/>
  <c r="L271" i="5"/>
  <c r="M271" i="5" s="1"/>
  <c r="K271" i="5"/>
  <c r="G271" i="5"/>
  <c r="F271" i="5"/>
  <c r="N270" i="5"/>
  <c r="O270" i="5" s="1"/>
  <c r="L270" i="5"/>
  <c r="M270" i="5" s="1"/>
  <c r="K270" i="5"/>
  <c r="G270" i="5"/>
  <c r="F270" i="5"/>
  <c r="N269" i="5"/>
  <c r="O269" i="5" s="1"/>
  <c r="L269" i="5"/>
  <c r="M269" i="5" s="1"/>
  <c r="K269" i="5"/>
  <c r="G269" i="5"/>
  <c r="F269" i="5"/>
  <c r="N268" i="5"/>
  <c r="O268" i="5" s="1"/>
  <c r="L268" i="5"/>
  <c r="M268" i="5" s="1"/>
  <c r="K268" i="5"/>
  <c r="G268" i="5"/>
  <c r="F268" i="5"/>
  <c r="N267" i="5"/>
  <c r="O267" i="5" s="1"/>
  <c r="L267" i="5"/>
  <c r="M267" i="5" s="1"/>
  <c r="K267" i="5"/>
  <c r="G267" i="5"/>
  <c r="F267" i="5"/>
  <c r="N266" i="5"/>
  <c r="O266" i="5" s="1"/>
  <c r="L266" i="5"/>
  <c r="M266" i="5" s="1"/>
  <c r="K266" i="5"/>
  <c r="G266" i="5"/>
  <c r="F266" i="5"/>
  <c r="K265" i="5"/>
  <c r="G265" i="5"/>
  <c r="F265" i="5"/>
  <c r="L265" i="5" s="1"/>
  <c r="L264" i="5"/>
  <c r="M264" i="5" s="1"/>
  <c r="N264" i="5" s="1"/>
  <c r="O264" i="5" s="1"/>
  <c r="K264" i="5"/>
  <c r="G264" i="5"/>
  <c r="F264" i="5"/>
  <c r="K263" i="5"/>
  <c r="L263" i="5" s="1"/>
  <c r="G263" i="5"/>
  <c r="F263" i="5"/>
  <c r="L262" i="5"/>
  <c r="K262" i="5"/>
  <c r="G262" i="5"/>
  <c r="F262" i="5"/>
  <c r="N261" i="5"/>
  <c r="O261" i="5" s="1"/>
  <c r="L261" i="5"/>
  <c r="M261" i="5" s="1"/>
  <c r="K261" i="5"/>
  <c r="G261" i="5"/>
  <c r="F261" i="5"/>
  <c r="N260" i="5"/>
  <c r="O260" i="5" s="1"/>
  <c r="L260" i="5"/>
  <c r="M260" i="5" s="1"/>
  <c r="K260" i="5"/>
  <c r="G260" i="5"/>
  <c r="F260" i="5"/>
  <c r="N259" i="5"/>
  <c r="O259" i="5" s="1"/>
  <c r="L259" i="5"/>
  <c r="M259" i="5" s="1"/>
  <c r="K259" i="5"/>
  <c r="G259" i="5"/>
  <c r="F259" i="5"/>
  <c r="N258" i="5"/>
  <c r="O258" i="5" s="1"/>
  <c r="L258" i="5"/>
  <c r="M258" i="5" s="1"/>
  <c r="K258" i="5"/>
  <c r="G258" i="5"/>
  <c r="F258" i="5"/>
  <c r="N257" i="5"/>
  <c r="O257" i="5" s="1"/>
  <c r="L257" i="5"/>
  <c r="M257" i="5" s="1"/>
  <c r="K257" i="5"/>
  <c r="G257" i="5"/>
  <c r="F257" i="5"/>
  <c r="N256" i="5"/>
  <c r="O256" i="5" s="1"/>
  <c r="L256" i="5"/>
  <c r="M256" i="5" s="1"/>
  <c r="K256" i="5"/>
  <c r="G256" i="5"/>
  <c r="F256" i="5"/>
  <c r="N255" i="5"/>
  <c r="O255" i="5" s="1"/>
  <c r="L255" i="5"/>
  <c r="M255" i="5" s="1"/>
  <c r="K255" i="5"/>
  <c r="G255" i="5"/>
  <c r="F255" i="5"/>
  <c r="N254" i="5"/>
  <c r="O254" i="5" s="1"/>
  <c r="L254" i="5"/>
  <c r="M254" i="5" s="1"/>
  <c r="K254" i="5"/>
  <c r="G254" i="5"/>
  <c r="F254" i="5"/>
  <c r="N253" i="5"/>
  <c r="O253" i="5" s="1"/>
  <c r="L253" i="5"/>
  <c r="M253" i="5" s="1"/>
  <c r="K253" i="5"/>
  <c r="G253" i="5"/>
  <c r="F253" i="5"/>
  <c r="N252" i="5"/>
  <c r="O252" i="5" s="1"/>
  <c r="L252" i="5"/>
  <c r="M252" i="5" s="1"/>
  <c r="K252" i="5"/>
  <c r="G252" i="5"/>
  <c r="F252" i="5"/>
  <c r="N251" i="5"/>
  <c r="O251" i="5" s="1"/>
  <c r="L251" i="5"/>
  <c r="M251" i="5" s="1"/>
  <c r="K251" i="5"/>
  <c r="G251" i="5"/>
  <c r="F251" i="5"/>
  <c r="N250" i="5"/>
  <c r="O250" i="5" s="1"/>
  <c r="L250" i="5"/>
  <c r="M250" i="5" s="1"/>
  <c r="K250" i="5"/>
  <c r="G250" i="5"/>
  <c r="F250" i="5"/>
  <c r="N249" i="5"/>
  <c r="O249" i="5" s="1"/>
  <c r="L249" i="5"/>
  <c r="M249" i="5" s="1"/>
  <c r="K249" i="5"/>
  <c r="G249" i="5"/>
  <c r="F249" i="5"/>
  <c r="N248" i="5"/>
  <c r="O248" i="5" s="1"/>
  <c r="L248" i="5"/>
  <c r="M248" i="5" s="1"/>
  <c r="K248" i="5"/>
  <c r="G248" i="5"/>
  <c r="F248" i="5"/>
  <c r="N247" i="5"/>
  <c r="O247" i="5" s="1"/>
  <c r="L247" i="5"/>
  <c r="M247" i="5" s="1"/>
  <c r="K247" i="5"/>
  <c r="G247" i="5"/>
  <c r="F247" i="5"/>
  <c r="N246" i="5"/>
  <c r="O246" i="5" s="1"/>
  <c r="L246" i="5"/>
  <c r="M246" i="5" s="1"/>
  <c r="K246" i="5"/>
  <c r="G246" i="5"/>
  <c r="F246" i="5"/>
  <c r="N245" i="5"/>
  <c r="O245" i="5" s="1"/>
  <c r="L245" i="5"/>
  <c r="M245" i="5" s="1"/>
  <c r="K245" i="5"/>
  <c r="G245" i="5"/>
  <c r="F245" i="5"/>
  <c r="N244" i="5"/>
  <c r="O244" i="5" s="1"/>
  <c r="L244" i="5"/>
  <c r="M244" i="5" s="1"/>
  <c r="K244" i="5"/>
  <c r="G244" i="5"/>
  <c r="F244" i="5"/>
  <c r="N243" i="5"/>
  <c r="O243" i="5" s="1"/>
  <c r="L243" i="5"/>
  <c r="M243" i="5" s="1"/>
  <c r="K243" i="5"/>
  <c r="G243" i="5"/>
  <c r="F243" i="5"/>
  <c r="N242" i="5"/>
  <c r="O242" i="5" s="1"/>
  <c r="L242" i="5"/>
  <c r="M242" i="5" s="1"/>
  <c r="K242" i="5"/>
  <c r="G242" i="5"/>
  <c r="F242" i="5"/>
  <c r="N241" i="5"/>
  <c r="O241" i="5" s="1"/>
  <c r="L241" i="5"/>
  <c r="M241" i="5" s="1"/>
  <c r="K241" i="5"/>
  <c r="G241" i="5"/>
  <c r="F241" i="5"/>
  <c r="N240" i="5"/>
  <c r="O240" i="5" s="1"/>
  <c r="L240" i="5"/>
  <c r="M240" i="5" s="1"/>
  <c r="K240" i="5"/>
  <c r="G240" i="5"/>
  <c r="F240" i="5"/>
  <c r="N239" i="5"/>
  <c r="O239" i="5" s="1"/>
  <c r="L239" i="5"/>
  <c r="M239" i="5" s="1"/>
  <c r="K239" i="5"/>
  <c r="G239" i="5"/>
  <c r="F239" i="5"/>
  <c r="N238" i="5"/>
  <c r="O238" i="5" s="1"/>
  <c r="L238" i="5"/>
  <c r="M238" i="5" s="1"/>
  <c r="K238" i="5"/>
  <c r="G238" i="5"/>
  <c r="F238" i="5"/>
  <c r="N237" i="5"/>
  <c r="O237" i="5" s="1"/>
  <c r="L237" i="5"/>
  <c r="M237" i="5" s="1"/>
  <c r="K237" i="5"/>
  <c r="G237" i="5"/>
  <c r="F237" i="5"/>
  <c r="N236" i="5"/>
  <c r="O236" i="5" s="1"/>
  <c r="L236" i="5"/>
  <c r="M236" i="5" s="1"/>
  <c r="K236" i="5"/>
  <c r="G236" i="5"/>
  <c r="F236" i="5"/>
  <c r="N235" i="5"/>
  <c r="O235" i="5" s="1"/>
  <c r="L235" i="5"/>
  <c r="M235" i="5" s="1"/>
  <c r="K235" i="5"/>
  <c r="G235" i="5"/>
  <c r="F235" i="5"/>
  <c r="N234" i="5"/>
  <c r="O234" i="5" s="1"/>
  <c r="L234" i="5"/>
  <c r="M234" i="5" s="1"/>
  <c r="K234" i="5"/>
  <c r="G234" i="5"/>
  <c r="F234" i="5"/>
  <c r="N233" i="5"/>
  <c r="O233" i="5" s="1"/>
  <c r="L233" i="5"/>
  <c r="M233" i="5" s="1"/>
  <c r="K233" i="5"/>
  <c r="G233" i="5"/>
  <c r="F233" i="5"/>
  <c r="N232" i="5"/>
  <c r="O232" i="5" s="1"/>
  <c r="L232" i="5"/>
  <c r="M232" i="5" s="1"/>
  <c r="K232" i="5"/>
  <c r="G232" i="5"/>
  <c r="F232" i="5"/>
  <c r="N231" i="5"/>
  <c r="O231" i="5" s="1"/>
  <c r="L231" i="5"/>
  <c r="M231" i="5" s="1"/>
  <c r="K231" i="5"/>
  <c r="G231" i="5"/>
  <c r="F231" i="5"/>
  <c r="N230" i="5"/>
  <c r="O230" i="5" s="1"/>
  <c r="L230" i="5"/>
  <c r="M230" i="5" s="1"/>
  <c r="K230" i="5"/>
  <c r="G230" i="5"/>
  <c r="F230" i="5"/>
  <c r="N229" i="5"/>
  <c r="O229" i="5" s="1"/>
  <c r="L229" i="5"/>
  <c r="M229" i="5" s="1"/>
  <c r="K229" i="5"/>
  <c r="G229" i="5"/>
  <c r="F229" i="5"/>
  <c r="N228" i="5"/>
  <c r="O228" i="5" s="1"/>
  <c r="L228" i="5"/>
  <c r="M228" i="5" s="1"/>
  <c r="K228" i="5"/>
  <c r="G228" i="5"/>
  <c r="F228" i="5"/>
  <c r="N227" i="5"/>
  <c r="O227" i="5" s="1"/>
  <c r="L227" i="5"/>
  <c r="M227" i="5" s="1"/>
  <c r="K227" i="5"/>
  <c r="G227" i="5"/>
  <c r="F227" i="5"/>
  <c r="N226" i="5"/>
  <c r="O226" i="5" s="1"/>
  <c r="L226" i="5"/>
  <c r="M226" i="5" s="1"/>
  <c r="K226" i="5"/>
  <c r="G226" i="5"/>
  <c r="F226" i="5"/>
  <c r="N225" i="5"/>
  <c r="O225" i="5" s="1"/>
  <c r="L225" i="5"/>
  <c r="M225" i="5" s="1"/>
  <c r="K225" i="5"/>
  <c r="G225" i="5"/>
  <c r="F225" i="5"/>
  <c r="N224" i="5"/>
  <c r="O224" i="5" s="1"/>
  <c r="L224" i="5"/>
  <c r="M224" i="5" s="1"/>
  <c r="K224" i="5"/>
  <c r="G224" i="5"/>
  <c r="F224" i="5"/>
  <c r="N223" i="5"/>
  <c r="O223" i="5" s="1"/>
  <c r="L223" i="5"/>
  <c r="M223" i="5" s="1"/>
  <c r="K223" i="5"/>
  <c r="G223" i="5"/>
  <c r="F223" i="5"/>
  <c r="N222" i="5"/>
  <c r="O222" i="5" s="1"/>
  <c r="L222" i="5"/>
  <c r="M222" i="5" s="1"/>
  <c r="K222" i="5"/>
  <c r="G222" i="5"/>
  <c r="F222" i="5"/>
  <c r="N221" i="5"/>
  <c r="O221" i="5" s="1"/>
  <c r="L221" i="5"/>
  <c r="M221" i="5" s="1"/>
  <c r="K221" i="5"/>
  <c r="G221" i="5"/>
  <c r="F221" i="5"/>
  <c r="N220" i="5"/>
  <c r="O220" i="5" s="1"/>
  <c r="L220" i="5"/>
  <c r="M220" i="5" s="1"/>
  <c r="K220" i="5"/>
  <c r="G220" i="5"/>
  <c r="F220" i="5"/>
  <c r="N219" i="5"/>
  <c r="O219" i="5" s="1"/>
  <c r="L219" i="5"/>
  <c r="M219" i="5" s="1"/>
  <c r="K219" i="5"/>
  <c r="G219" i="5"/>
  <c r="F219" i="5"/>
  <c r="N218" i="5"/>
  <c r="O218" i="5" s="1"/>
  <c r="L218" i="5"/>
  <c r="M218" i="5" s="1"/>
  <c r="K218" i="5"/>
  <c r="G218" i="5"/>
  <c r="F218" i="5"/>
  <c r="N217" i="5"/>
  <c r="O217" i="5" s="1"/>
  <c r="L217" i="5"/>
  <c r="M217" i="5" s="1"/>
  <c r="K217" i="5"/>
  <c r="G217" i="5"/>
  <c r="F217" i="5"/>
  <c r="N216" i="5"/>
  <c r="O216" i="5" s="1"/>
  <c r="L216" i="5"/>
  <c r="M216" i="5" s="1"/>
  <c r="K216" i="5"/>
  <c r="G216" i="5"/>
  <c r="F216" i="5"/>
  <c r="N215" i="5"/>
  <c r="O215" i="5" s="1"/>
  <c r="L215" i="5"/>
  <c r="M215" i="5" s="1"/>
  <c r="K215" i="5"/>
  <c r="G215" i="5"/>
  <c r="F215" i="5"/>
  <c r="N214" i="5"/>
  <c r="O214" i="5" s="1"/>
  <c r="L214" i="5"/>
  <c r="M214" i="5" s="1"/>
  <c r="K214" i="5"/>
  <c r="G214" i="5"/>
  <c r="F214" i="5"/>
  <c r="N213" i="5"/>
  <c r="O213" i="5" s="1"/>
  <c r="L213" i="5"/>
  <c r="M213" i="5" s="1"/>
  <c r="K213" i="5"/>
  <c r="G213" i="5"/>
  <c r="F213" i="5"/>
  <c r="N212" i="5"/>
  <c r="O212" i="5" s="1"/>
  <c r="L212" i="5"/>
  <c r="M212" i="5" s="1"/>
  <c r="K212" i="5"/>
  <c r="G212" i="5"/>
  <c r="F212" i="5"/>
  <c r="N211" i="5"/>
  <c r="O211" i="5" s="1"/>
  <c r="L211" i="5"/>
  <c r="M211" i="5" s="1"/>
  <c r="K211" i="5"/>
  <c r="G211" i="5"/>
  <c r="F211" i="5"/>
  <c r="N210" i="5"/>
  <c r="O210" i="5" s="1"/>
  <c r="L210" i="5"/>
  <c r="M210" i="5" s="1"/>
  <c r="K210" i="5"/>
  <c r="G210" i="5"/>
  <c r="F210" i="5"/>
  <c r="N209" i="5"/>
  <c r="O209" i="5" s="1"/>
  <c r="L209" i="5"/>
  <c r="M209" i="5" s="1"/>
  <c r="K209" i="5"/>
  <c r="G209" i="5"/>
  <c r="F209" i="5"/>
  <c r="N208" i="5"/>
  <c r="O208" i="5" s="1"/>
  <c r="L208" i="5"/>
  <c r="M208" i="5" s="1"/>
  <c r="K208" i="5"/>
  <c r="G208" i="5"/>
  <c r="F208" i="5"/>
  <c r="N207" i="5"/>
  <c r="O207" i="5" s="1"/>
  <c r="L207" i="5"/>
  <c r="M207" i="5" s="1"/>
  <c r="K207" i="5"/>
  <c r="G207" i="5"/>
  <c r="F207" i="5"/>
  <c r="N206" i="5"/>
  <c r="O206" i="5" s="1"/>
  <c r="L206" i="5"/>
  <c r="M206" i="5" s="1"/>
  <c r="K206" i="5"/>
  <c r="G206" i="5"/>
  <c r="F206" i="5"/>
  <c r="N205" i="5"/>
  <c r="O205" i="5" s="1"/>
  <c r="L205" i="5"/>
  <c r="M205" i="5" s="1"/>
  <c r="K205" i="5"/>
  <c r="G205" i="5"/>
  <c r="F205" i="5"/>
  <c r="N204" i="5"/>
  <c r="O204" i="5" s="1"/>
  <c r="L204" i="5"/>
  <c r="M204" i="5" s="1"/>
  <c r="K204" i="5"/>
  <c r="G204" i="5"/>
  <c r="F204" i="5"/>
  <c r="N203" i="5"/>
  <c r="O203" i="5" s="1"/>
  <c r="L203" i="5"/>
  <c r="M203" i="5" s="1"/>
  <c r="K203" i="5"/>
  <c r="G203" i="5"/>
  <c r="F203" i="5"/>
  <c r="N202" i="5"/>
  <c r="O202" i="5" s="1"/>
  <c r="L202" i="5"/>
  <c r="M202" i="5" s="1"/>
  <c r="K202" i="5"/>
  <c r="G202" i="5"/>
  <c r="F202" i="5"/>
  <c r="N201" i="5"/>
  <c r="O201" i="5" s="1"/>
  <c r="L201" i="5"/>
  <c r="M201" i="5" s="1"/>
  <c r="K201" i="5"/>
  <c r="G201" i="5"/>
  <c r="F201" i="5"/>
  <c r="N200" i="5"/>
  <c r="O200" i="5" s="1"/>
  <c r="L200" i="5"/>
  <c r="M200" i="5" s="1"/>
  <c r="K200" i="5"/>
  <c r="G200" i="5"/>
  <c r="F200" i="5"/>
  <c r="N199" i="5"/>
  <c r="O199" i="5" s="1"/>
  <c r="L199" i="5"/>
  <c r="M199" i="5" s="1"/>
  <c r="K199" i="5"/>
  <c r="G199" i="5"/>
  <c r="F199" i="5"/>
  <c r="N198" i="5"/>
  <c r="O198" i="5" s="1"/>
  <c r="L198" i="5"/>
  <c r="M198" i="5" s="1"/>
  <c r="K198" i="5"/>
  <c r="G198" i="5"/>
  <c r="F198" i="5"/>
  <c r="N197" i="5"/>
  <c r="O197" i="5" s="1"/>
  <c r="L197" i="5"/>
  <c r="M197" i="5" s="1"/>
  <c r="K197" i="5"/>
  <c r="G197" i="5"/>
  <c r="F197" i="5"/>
  <c r="N196" i="5"/>
  <c r="O196" i="5" s="1"/>
  <c r="L196" i="5"/>
  <c r="M196" i="5" s="1"/>
  <c r="K196" i="5"/>
  <c r="G196" i="5"/>
  <c r="F196" i="5"/>
  <c r="N195" i="5"/>
  <c r="O195" i="5" s="1"/>
  <c r="L195" i="5"/>
  <c r="M195" i="5" s="1"/>
  <c r="K195" i="5"/>
  <c r="G195" i="5"/>
  <c r="F195" i="5"/>
  <c r="N194" i="5"/>
  <c r="O194" i="5" s="1"/>
  <c r="L194" i="5"/>
  <c r="M194" i="5" s="1"/>
  <c r="K194" i="5"/>
  <c r="G194" i="5"/>
  <c r="F194" i="5"/>
  <c r="N193" i="5"/>
  <c r="O193" i="5" s="1"/>
  <c r="L193" i="5"/>
  <c r="M193" i="5" s="1"/>
  <c r="K193" i="5"/>
  <c r="G193" i="5"/>
  <c r="F193" i="5"/>
  <c r="N192" i="5"/>
  <c r="O192" i="5" s="1"/>
  <c r="L192" i="5"/>
  <c r="M192" i="5" s="1"/>
  <c r="K192" i="5"/>
  <c r="G192" i="5"/>
  <c r="F192" i="5"/>
  <c r="N191" i="5"/>
  <c r="O191" i="5" s="1"/>
  <c r="L191" i="5"/>
  <c r="M191" i="5" s="1"/>
  <c r="K191" i="5"/>
  <c r="G191" i="5"/>
  <c r="F191" i="5"/>
  <c r="N190" i="5"/>
  <c r="O190" i="5" s="1"/>
  <c r="L190" i="5"/>
  <c r="M190" i="5" s="1"/>
  <c r="K190" i="5"/>
  <c r="G190" i="5"/>
  <c r="F190" i="5"/>
  <c r="N189" i="5"/>
  <c r="O189" i="5" s="1"/>
  <c r="L189" i="5"/>
  <c r="M189" i="5" s="1"/>
  <c r="K189" i="5"/>
  <c r="G189" i="5"/>
  <c r="F189" i="5"/>
  <c r="N188" i="5"/>
  <c r="O188" i="5" s="1"/>
  <c r="L188" i="5"/>
  <c r="M188" i="5" s="1"/>
  <c r="K188" i="5"/>
  <c r="G188" i="5"/>
  <c r="F188" i="5"/>
  <c r="N187" i="5"/>
  <c r="O187" i="5" s="1"/>
  <c r="L187" i="5"/>
  <c r="M187" i="5" s="1"/>
  <c r="K187" i="5"/>
  <c r="G187" i="5"/>
  <c r="F187" i="5"/>
  <c r="N186" i="5"/>
  <c r="O186" i="5" s="1"/>
  <c r="L186" i="5"/>
  <c r="M186" i="5" s="1"/>
  <c r="K186" i="5"/>
  <c r="G186" i="5"/>
  <c r="F186" i="5"/>
  <c r="N185" i="5"/>
  <c r="O185" i="5" s="1"/>
  <c r="L185" i="5"/>
  <c r="M185" i="5" s="1"/>
  <c r="K185" i="5"/>
  <c r="G185" i="5"/>
  <c r="F185" i="5"/>
  <c r="N184" i="5"/>
  <c r="O184" i="5" s="1"/>
  <c r="L184" i="5"/>
  <c r="M184" i="5" s="1"/>
  <c r="K184" i="5"/>
  <c r="G184" i="5"/>
  <c r="F184" i="5"/>
  <c r="N183" i="5"/>
  <c r="O183" i="5" s="1"/>
  <c r="L183" i="5"/>
  <c r="M183" i="5" s="1"/>
  <c r="K183" i="5"/>
  <c r="G183" i="5"/>
  <c r="F183" i="5"/>
  <c r="N182" i="5"/>
  <c r="O182" i="5" s="1"/>
  <c r="L182" i="5"/>
  <c r="M182" i="5" s="1"/>
  <c r="K182" i="5"/>
  <c r="G182" i="5"/>
  <c r="F182" i="5"/>
  <c r="N181" i="5"/>
  <c r="O181" i="5" s="1"/>
  <c r="L181" i="5"/>
  <c r="M181" i="5" s="1"/>
  <c r="K181" i="5"/>
  <c r="G181" i="5"/>
  <c r="F181" i="5"/>
  <c r="N180" i="5"/>
  <c r="O180" i="5" s="1"/>
  <c r="L180" i="5"/>
  <c r="M180" i="5" s="1"/>
  <c r="K180" i="5"/>
  <c r="G180" i="5"/>
  <c r="F180" i="5"/>
  <c r="N179" i="5"/>
  <c r="O179" i="5" s="1"/>
  <c r="L179" i="5"/>
  <c r="M179" i="5" s="1"/>
  <c r="K179" i="5"/>
  <c r="G179" i="5"/>
  <c r="F179" i="5"/>
  <c r="N178" i="5"/>
  <c r="O178" i="5" s="1"/>
  <c r="L178" i="5"/>
  <c r="M178" i="5" s="1"/>
  <c r="K178" i="5"/>
  <c r="G178" i="5"/>
  <c r="F178" i="5"/>
  <c r="N177" i="5"/>
  <c r="O177" i="5" s="1"/>
  <c r="L177" i="5"/>
  <c r="M177" i="5" s="1"/>
  <c r="K177" i="5"/>
  <c r="G177" i="5"/>
  <c r="F177" i="5"/>
  <c r="N176" i="5"/>
  <c r="O176" i="5" s="1"/>
  <c r="L176" i="5"/>
  <c r="M176" i="5" s="1"/>
  <c r="K176" i="5"/>
  <c r="G176" i="5"/>
  <c r="F176" i="5"/>
  <c r="N175" i="5"/>
  <c r="O175" i="5" s="1"/>
  <c r="L175" i="5"/>
  <c r="M175" i="5" s="1"/>
  <c r="K175" i="5"/>
  <c r="G175" i="5"/>
  <c r="F175" i="5"/>
  <c r="N174" i="5"/>
  <c r="O174" i="5" s="1"/>
  <c r="L174" i="5"/>
  <c r="M174" i="5" s="1"/>
  <c r="K174" i="5"/>
  <c r="G174" i="5"/>
  <c r="F174" i="5"/>
  <c r="N173" i="5"/>
  <c r="O173" i="5" s="1"/>
  <c r="L173" i="5"/>
  <c r="M173" i="5" s="1"/>
  <c r="K173" i="5"/>
  <c r="G173" i="5"/>
  <c r="F173" i="5"/>
  <c r="N172" i="5"/>
  <c r="O172" i="5" s="1"/>
  <c r="L172" i="5"/>
  <c r="M172" i="5" s="1"/>
  <c r="K172" i="5"/>
  <c r="G172" i="5"/>
  <c r="F172" i="5"/>
  <c r="N171" i="5"/>
  <c r="O171" i="5" s="1"/>
  <c r="L171" i="5"/>
  <c r="M171" i="5" s="1"/>
  <c r="K171" i="5"/>
  <c r="G171" i="5"/>
  <c r="F171" i="5"/>
  <c r="N170" i="5"/>
  <c r="O170" i="5" s="1"/>
  <c r="L170" i="5"/>
  <c r="M170" i="5" s="1"/>
  <c r="K170" i="5"/>
  <c r="G170" i="5"/>
  <c r="F170" i="5"/>
  <c r="N169" i="5"/>
  <c r="O169" i="5" s="1"/>
  <c r="L169" i="5"/>
  <c r="M169" i="5" s="1"/>
  <c r="K169" i="5"/>
  <c r="G169" i="5"/>
  <c r="F169" i="5"/>
  <c r="N168" i="5"/>
  <c r="O168" i="5" s="1"/>
  <c r="L168" i="5"/>
  <c r="M168" i="5" s="1"/>
  <c r="K168" i="5"/>
  <c r="G168" i="5"/>
  <c r="F168" i="5"/>
  <c r="N167" i="5"/>
  <c r="O167" i="5" s="1"/>
  <c r="L167" i="5"/>
  <c r="M167" i="5" s="1"/>
  <c r="K167" i="5"/>
  <c r="G167" i="5"/>
  <c r="F167" i="5"/>
  <c r="N166" i="5"/>
  <c r="O166" i="5" s="1"/>
  <c r="L166" i="5"/>
  <c r="M166" i="5" s="1"/>
  <c r="K166" i="5"/>
  <c r="G166" i="5"/>
  <c r="F166" i="5"/>
  <c r="N165" i="5"/>
  <c r="O165" i="5" s="1"/>
  <c r="L165" i="5"/>
  <c r="M165" i="5" s="1"/>
  <c r="K165" i="5"/>
  <c r="G165" i="5"/>
  <c r="F165" i="5"/>
  <c r="N164" i="5"/>
  <c r="O164" i="5" s="1"/>
  <c r="L164" i="5"/>
  <c r="M164" i="5" s="1"/>
  <c r="K164" i="5"/>
  <c r="G164" i="5"/>
  <c r="F164" i="5"/>
  <c r="N163" i="5"/>
  <c r="O163" i="5" s="1"/>
  <c r="L163" i="5"/>
  <c r="M163" i="5" s="1"/>
  <c r="K163" i="5"/>
  <c r="G163" i="5"/>
  <c r="F163" i="5"/>
  <c r="N162" i="5"/>
  <c r="O162" i="5" s="1"/>
  <c r="L162" i="5"/>
  <c r="M162" i="5" s="1"/>
  <c r="K162" i="5"/>
  <c r="G162" i="5"/>
  <c r="F162" i="5"/>
  <c r="N161" i="5"/>
  <c r="O161" i="5" s="1"/>
  <c r="L161" i="5"/>
  <c r="M161" i="5" s="1"/>
  <c r="K161" i="5"/>
  <c r="G161" i="5"/>
  <c r="F161" i="5"/>
  <c r="N160" i="5"/>
  <c r="O160" i="5" s="1"/>
  <c r="L160" i="5"/>
  <c r="M160" i="5" s="1"/>
  <c r="K160" i="5"/>
  <c r="G160" i="5"/>
  <c r="F160" i="5"/>
  <c r="N159" i="5"/>
  <c r="O159" i="5" s="1"/>
  <c r="L159" i="5"/>
  <c r="M159" i="5" s="1"/>
  <c r="K159" i="5"/>
  <c r="G159" i="5"/>
  <c r="F159" i="5"/>
  <c r="N158" i="5"/>
  <c r="O158" i="5" s="1"/>
  <c r="L158" i="5"/>
  <c r="M158" i="5" s="1"/>
  <c r="K158" i="5"/>
  <c r="G158" i="5"/>
  <c r="F158" i="5"/>
  <c r="N157" i="5"/>
  <c r="O157" i="5" s="1"/>
  <c r="L157" i="5"/>
  <c r="M157" i="5" s="1"/>
  <c r="K157" i="5"/>
  <c r="G157" i="5"/>
  <c r="F157" i="5"/>
  <c r="N156" i="5"/>
  <c r="O156" i="5" s="1"/>
  <c r="L156" i="5"/>
  <c r="M156" i="5" s="1"/>
  <c r="K156" i="5"/>
  <c r="G156" i="5"/>
  <c r="F156" i="5"/>
  <c r="N155" i="5"/>
  <c r="O155" i="5" s="1"/>
  <c r="L155" i="5"/>
  <c r="M155" i="5" s="1"/>
  <c r="K155" i="5"/>
  <c r="G155" i="5"/>
  <c r="F155" i="5"/>
  <c r="N154" i="5"/>
  <c r="O154" i="5" s="1"/>
  <c r="L154" i="5"/>
  <c r="M154" i="5" s="1"/>
  <c r="K154" i="5"/>
  <c r="G154" i="5"/>
  <c r="F154" i="5"/>
  <c r="N153" i="5"/>
  <c r="O153" i="5" s="1"/>
  <c r="L153" i="5"/>
  <c r="M153" i="5" s="1"/>
  <c r="K153" i="5"/>
  <c r="G153" i="5"/>
  <c r="F153" i="5"/>
  <c r="N152" i="5"/>
  <c r="O152" i="5" s="1"/>
  <c r="L152" i="5"/>
  <c r="M152" i="5" s="1"/>
  <c r="K152" i="5"/>
  <c r="G152" i="5"/>
  <c r="F152" i="5"/>
  <c r="N151" i="5"/>
  <c r="O151" i="5" s="1"/>
  <c r="L151" i="5"/>
  <c r="M151" i="5" s="1"/>
  <c r="K151" i="5"/>
  <c r="G151" i="5"/>
  <c r="F151" i="5"/>
  <c r="N150" i="5"/>
  <c r="O150" i="5" s="1"/>
  <c r="L150" i="5"/>
  <c r="M150" i="5" s="1"/>
  <c r="K150" i="5"/>
  <c r="G150" i="5"/>
  <c r="F150" i="5"/>
  <c r="N149" i="5"/>
  <c r="O149" i="5" s="1"/>
  <c r="L149" i="5"/>
  <c r="M149" i="5" s="1"/>
  <c r="K149" i="5"/>
  <c r="G149" i="5"/>
  <c r="F149" i="5"/>
  <c r="N148" i="5"/>
  <c r="O148" i="5" s="1"/>
  <c r="L148" i="5"/>
  <c r="M148" i="5" s="1"/>
  <c r="K148" i="5"/>
  <c r="G148" i="5"/>
  <c r="F148" i="5"/>
  <c r="N147" i="5"/>
  <c r="O147" i="5" s="1"/>
  <c r="L147" i="5"/>
  <c r="M147" i="5" s="1"/>
  <c r="K147" i="5"/>
  <c r="G147" i="5"/>
  <c r="F147" i="5"/>
  <c r="N146" i="5"/>
  <c r="O146" i="5" s="1"/>
  <c r="L146" i="5"/>
  <c r="M146" i="5" s="1"/>
  <c r="K146" i="5"/>
  <c r="G146" i="5"/>
  <c r="F146" i="5"/>
  <c r="N145" i="5"/>
  <c r="O145" i="5" s="1"/>
  <c r="L145" i="5"/>
  <c r="M145" i="5" s="1"/>
  <c r="K145" i="5"/>
  <c r="G145" i="5"/>
  <c r="F145" i="5"/>
  <c r="N144" i="5"/>
  <c r="O144" i="5" s="1"/>
  <c r="L144" i="5"/>
  <c r="M144" i="5" s="1"/>
  <c r="K144" i="5"/>
  <c r="G144" i="5"/>
  <c r="F144" i="5"/>
  <c r="N143" i="5"/>
  <c r="O143" i="5" s="1"/>
  <c r="L143" i="5"/>
  <c r="M143" i="5" s="1"/>
  <c r="K143" i="5"/>
  <c r="G143" i="5"/>
  <c r="F143" i="5"/>
  <c r="N142" i="5"/>
  <c r="O142" i="5" s="1"/>
  <c r="L142" i="5"/>
  <c r="M142" i="5" s="1"/>
  <c r="K142" i="5"/>
  <c r="G142" i="5"/>
  <c r="F142" i="5"/>
  <c r="N141" i="5"/>
  <c r="O141" i="5" s="1"/>
  <c r="L141" i="5"/>
  <c r="M141" i="5" s="1"/>
  <c r="K141" i="5"/>
  <c r="G141" i="5"/>
  <c r="F141" i="5"/>
  <c r="N140" i="5"/>
  <c r="O140" i="5" s="1"/>
  <c r="L140" i="5"/>
  <c r="M140" i="5" s="1"/>
  <c r="K140" i="5"/>
  <c r="G140" i="5"/>
  <c r="F140" i="5"/>
  <c r="N139" i="5"/>
  <c r="O139" i="5" s="1"/>
  <c r="L139" i="5"/>
  <c r="M139" i="5" s="1"/>
  <c r="K139" i="5"/>
  <c r="G139" i="5"/>
  <c r="F139" i="5"/>
  <c r="N138" i="5"/>
  <c r="O138" i="5" s="1"/>
  <c r="L138" i="5"/>
  <c r="M138" i="5" s="1"/>
  <c r="K138" i="5"/>
  <c r="G138" i="5"/>
  <c r="F138" i="5"/>
  <c r="N137" i="5"/>
  <c r="O137" i="5" s="1"/>
  <c r="L137" i="5"/>
  <c r="M137" i="5" s="1"/>
  <c r="K137" i="5"/>
  <c r="G137" i="5"/>
  <c r="F137" i="5"/>
  <c r="N136" i="5"/>
  <c r="O136" i="5" s="1"/>
  <c r="L136" i="5"/>
  <c r="M136" i="5" s="1"/>
  <c r="K136" i="5"/>
  <c r="G136" i="5"/>
  <c r="F136" i="5"/>
  <c r="N135" i="5"/>
  <c r="O135" i="5" s="1"/>
  <c r="L135" i="5"/>
  <c r="M135" i="5" s="1"/>
  <c r="K135" i="5"/>
  <c r="G135" i="5"/>
  <c r="F135" i="5"/>
  <c r="N134" i="5"/>
  <c r="O134" i="5" s="1"/>
  <c r="L134" i="5"/>
  <c r="M134" i="5" s="1"/>
  <c r="K134" i="5"/>
  <c r="G134" i="5"/>
  <c r="F134" i="5"/>
  <c r="N133" i="5"/>
  <c r="O133" i="5" s="1"/>
  <c r="L133" i="5"/>
  <c r="M133" i="5" s="1"/>
  <c r="K133" i="5"/>
  <c r="G133" i="5"/>
  <c r="F133" i="5"/>
  <c r="N132" i="5"/>
  <c r="O132" i="5" s="1"/>
  <c r="L132" i="5"/>
  <c r="M132" i="5" s="1"/>
  <c r="K132" i="5"/>
  <c r="G132" i="5"/>
  <c r="F132" i="5"/>
  <c r="N131" i="5"/>
  <c r="O131" i="5" s="1"/>
  <c r="L131" i="5"/>
  <c r="M131" i="5" s="1"/>
  <c r="K131" i="5"/>
  <c r="G131" i="5"/>
  <c r="F131" i="5"/>
  <c r="N130" i="5"/>
  <c r="O130" i="5" s="1"/>
  <c r="L130" i="5"/>
  <c r="M130" i="5" s="1"/>
  <c r="K130" i="5"/>
  <c r="G130" i="5"/>
  <c r="F130" i="5"/>
  <c r="N129" i="5"/>
  <c r="O129" i="5" s="1"/>
  <c r="L129" i="5"/>
  <c r="M129" i="5" s="1"/>
  <c r="K129" i="5"/>
  <c r="G129" i="5"/>
  <c r="F129" i="5"/>
  <c r="N128" i="5"/>
  <c r="O128" i="5" s="1"/>
  <c r="L128" i="5"/>
  <c r="M128" i="5" s="1"/>
  <c r="K128" i="5"/>
  <c r="G128" i="5"/>
  <c r="F128" i="5"/>
  <c r="N127" i="5"/>
  <c r="O127" i="5" s="1"/>
  <c r="L127" i="5"/>
  <c r="M127" i="5" s="1"/>
  <c r="K127" i="5"/>
  <c r="G127" i="5"/>
  <c r="F127" i="5"/>
  <c r="N126" i="5"/>
  <c r="O126" i="5" s="1"/>
  <c r="L126" i="5"/>
  <c r="M126" i="5" s="1"/>
  <c r="K126" i="5"/>
  <c r="G126" i="5"/>
  <c r="F126" i="5"/>
  <c r="N125" i="5"/>
  <c r="O125" i="5" s="1"/>
  <c r="L125" i="5"/>
  <c r="M125" i="5" s="1"/>
  <c r="K125" i="5"/>
  <c r="G125" i="5"/>
  <c r="F125" i="5"/>
  <c r="N124" i="5"/>
  <c r="O124" i="5" s="1"/>
  <c r="L124" i="5"/>
  <c r="M124" i="5" s="1"/>
  <c r="K124" i="5"/>
  <c r="G124" i="5"/>
  <c r="F124" i="5"/>
  <c r="N123" i="5"/>
  <c r="O123" i="5" s="1"/>
  <c r="L123" i="5"/>
  <c r="M123" i="5" s="1"/>
  <c r="K123" i="5"/>
  <c r="G123" i="5"/>
  <c r="F123" i="5"/>
  <c r="N122" i="5"/>
  <c r="O122" i="5" s="1"/>
  <c r="L122" i="5"/>
  <c r="M122" i="5" s="1"/>
  <c r="K122" i="5"/>
  <c r="G122" i="5"/>
  <c r="F122" i="5"/>
  <c r="N121" i="5"/>
  <c r="O121" i="5" s="1"/>
  <c r="L121" i="5"/>
  <c r="M121" i="5" s="1"/>
  <c r="K121" i="5"/>
  <c r="G121" i="5"/>
  <c r="F121" i="5"/>
  <c r="N120" i="5"/>
  <c r="O120" i="5" s="1"/>
  <c r="L120" i="5"/>
  <c r="M120" i="5" s="1"/>
  <c r="K120" i="5"/>
  <c r="G120" i="5"/>
  <c r="F120" i="5"/>
  <c r="N119" i="5"/>
  <c r="O119" i="5" s="1"/>
  <c r="L119" i="5"/>
  <c r="M119" i="5" s="1"/>
  <c r="K119" i="5"/>
  <c r="G119" i="5"/>
  <c r="F119" i="5"/>
  <c r="N118" i="5"/>
  <c r="O118" i="5" s="1"/>
  <c r="L118" i="5"/>
  <c r="M118" i="5" s="1"/>
  <c r="K118" i="5"/>
  <c r="G118" i="5"/>
  <c r="F118" i="5"/>
  <c r="N117" i="5"/>
  <c r="O117" i="5" s="1"/>
  <c r="L117" i="5"/>
  <c r="M117" i="5" s="1"/>
  <c r="K117" i="5"/>
  <c r="G117" i="5"/>
  <c r="F117" i="5"/>
  <c r="N116" i="5"/>
  <c r="O116" i="5" s="1"/>
  <c r="L116" i="5"/>
  <c r="M116" i="5" s="1"/>
  <c r="K116" i="5"/>
  <c r="G116" i="5"/>
  <c r="F116" i="5"/>
  <c r="N115" i="5"/>
  <c r="O115" i="5" s="1"/>
  <c r="L115" i="5"/>
  <c r="M115" i="5" s="1"/>
  <c r="K115" i="5"/>
  <c r="G115" i="5"/>
  <c r="F115" i="5"/>
  <c r="N114" i="5"/>
  <c r="O114" i="5" s="1"/>
  <c r="L114" i="5"/>
  <c r="M114" i="5" s="1"/>
  <c r="K114" i="5"/>
  <c r="G114" i="5"/>
  <c r="F114" i="5"/>
  <c r="N113" i="5"/>
  <c r="O113" i="5" s="1"/>
  <c r="L113" i="5"/>
  <c r="M113" i="5" s="1"/>
  <c r="K113" i="5"/>
  <c r="G113" i="5"/>
  <c r="F113" i="5"/>
  <c r="N112" i="5"/>
  <c r="O112" i="5" s="1"/>
  <c r="L112" i="5"/>
  <c r="M112" i="5" s="1"/>
  <c r="K112" i="5"/>
  <c r="G112" i="5"/>
  <c r="F112" i="5"/>
  <c r="N111" i="5"/>
  <c r="O111" i="5" s="1"/>
  <c r="L111" i="5"/>
  <c r="M111" i="5" s="1"/>
  <c r="K111" i="5"/>
  <c r="G111" i="5"/>
  <c r="F111" i="5"/>
  <c r="N110" i="5"/>
  <c r="O110" i="5" s="1"/>
  <c r="L110" i="5"/>
  <c r="M110" i="5" s="1"/>
  <c r="K110" i="5"/>
  <c r="G110" i="5"/>
  <c r="F110" i="5"/>
  <c r="N109" i="5"/>
  <c r="O109" i="5" s="1"/>
  <c r="L109" i="5"/>
  <c r="M109" i="5" s="1"/>
  <c r="K109" i="5"/>
  <c r="G109" i="5"/>
  <c r="F109" i="5"/>
  <c r="N108" i="5"/>
  <c r="O108" i="5" s="1"/>
  <c r="L108" i="5"/>
  <c r="M108" i="5" s="1"/>
  <c r="K108" i="5"/>
  <c r="G108" i="5"/>
  <c r="F108" i="5"/>
  <c r="N107" i="5"/>
  <c r="O107" i="5" s="1"/>
  <c r="L107" i="5"/>
  <c r="M107" i="5" s="1"/>
  <c r="K107" i="5"/>
  <c r="G107" i="5"/>
  <c r="F107" i="5"/>
  <c r="N106" i="5"/>
  <c r="O106" i="5" s="1"/>
  <c r="L106" i="5"/>
  <c r="M106" i="5" s="1"/>
  <c r="K106" i="5"/>
  <c r="G106" i="5"/>
  <c r="F106" i="5"/>
  <c r="N105" i="5"/>
  <c r="O105" i="5" s="1"/>
  <c r="L105" i="5"/>
  <c r="M105" i="5" s="1"/>
  <c r="K105" i="5"/>
  <c r="G105" i="5"/>
  <c r="F105" i="5"/>
  <c r="N104" i="5"/>
  <c r="O104" i="5" s="1"/>
  <c r="L104" i="5"/>
  <c r="M104" i="5" s="1"/>
  <c r="K104" i="5"/>
  <c r="G104" i="5"/>
  <c r="F104" i="5"/>
  <c r="N103" i="5"/>
  <c r="O103" i="5" s="1"/>
  <c r="L103" i="5"/>
  <c r="M103" i="5" s="1"/>
  <c r="K103" i="5"/>
  <c r="G103" i="5"/>
  <c r="F103" i="5"/>
  <c r="N102" i="5"/>
  <c r="O102" i="5" s="1"/>
  <c r="L102" i="5"/>
  <c r="M102" i="5" s="1"/>
  <c r="K102" i="5"/>
  <c r="G102" i="5"/>
  <c r="F102" i="5"/>
  <c r="N101" i="5"/>
  <c r="O101" i="5" s="1"/>
  <c r="L101" i="5"/>
  <c r="M101" i="5" s="1"/>
  <c r="K101" i="5"/>
  <c r="G101" i="5"/>
  <c r="F101" i="5"/>
  <c r="N100" i="5"/>
  <c r="O100" i="5" s="1"/>
  <c r="L100" i="5"/>
  <c r="M100" i="5" s="1"/>
  <c r="K100" i="5"/>
  <c r="G100" i="5"/>
  <c r="F100" i="5"/>
  <c r="N99" i="5"/>
  <c r="O99" i="5" s="1"/>
  <c r="L99" i="5"/>
  <c r="M99" i="5" s="1"/>
  <c r="K99" i="5"/>
  <c r="G99" i="5"/>
  <c r="F99" i="5"/>
  <c r="N98" i="5"/>
  <c r="O98" i="5" s="1"/>
  <c r="L98" i="5"/>
  <c r="M98" i="5" s="1"/>
  <c r="K98" i="5"/>
  <c r="G98" i="5"/>
  <c r="F98" i="5"/>
  <c r="N97" i="5"/>
  <c r="O97" i="5" s="1"/>
  <c r="L97" i="5"/>
  <c r="M97" i="5" s="1"/>
  <c r="K97" i="5"/>
  <c r="G97" i="5"/>
  <c r="F97" i="5"/>
  <c r="N96" i="5"/>
  <c r="O96" i="5" s="1"/>
  <c r="L96" i="5"/>
  <c r="M96" i="5" s="1"/>
  <c r="K96" i="5"/>
  <c r="G96" i="5"/>
  <c r="F96" i="5"/>
  <c r="N95" i="5"/>
  <c r="O95" i="5" s="1"/>
  <c r="L95" i="5"/>
  <c r="M95" i="5" s="1"/>
  <c r="K95" i="5"/>
  <c r="G95" i="5"/>
  <c r="F95" i="5"/>
  <c r="N94" i="5"/>
  <c r="O94" i="5" s="1"/>
  <c r="L94" i="5"/>
  <c r="M94" i="5" s="1"/>
  <c r="K94" i="5"/>
  <c r="G94" i="5"/>
  <c r="F94" i="5"/>
  <c r="N93" i="5"/>
  <c r="O93" i="5" s="1"/>
  <c r="L93" i="5"/>
  <c r="M93" i="5" s="1"/>
  <c r="K93" i="5"/>
  <c r="G93" i="5"/>
  <c r="F93" i="5"/>
  <c r="N92" i="5"/>
  <c r="O92" i="5" s="1"/>
  <c r="L92" i="5"/>
  <c r="M92" i="5" s="1"/>
  <c r="K92" i="5"/>
  <c r="G92" i="5"/>
  <c r="F92" i="5"/>
  <c r="N91" i="5"/>
  <c r="O91" i="5" s="1"/>
  <c r="L91" i="5"/>
  <c r="M91" i="5" s="1"/>
  <c r="K91" i="5"/>
  <c r="G91" i="5"/>
  <c r="F91" i="5"/>
  <c r="N90" i="5"/>
  <c r="O90" i="5" s="1"/>
  <c r="L90" i="5"/>
  <c r="M90" i="5" s="1"/>
  <c r="K90" i="5"/>
  <c r="G90" i="5"/>
  <c r="F90" i="5"/>
  <c r="N89" i="5"/>
  <c r="O89" i="5" s="1"/>
  <c r="L89" i="5"/>
  <c r="M89" i="5" s="1"/>
  <c r="K89" i="5"/>
  <c r="G89" i="5"/>
  <c r="F89" i="5"/>
  <c r="N88" i="5"/>
  <c r="O88" i="5" s="1"/>
  <c r="L88" i="5"/>
  <c r="M88" i="5" s="1"/>
  <c r="K88" i="5"/>
  <c r="G88" i="5"/>
  <c r="F88" i="5"/>
  <c r="N87" i="5"/>
  <c r="O87" i="5" s="1"/>
  <c r="L87" i="5"/>
  <c r="M87" i="5" s="1"/>
  <c r="K87" i="5"/>
  <c r="G87" i="5"/>
  <c r="F87" i="5"/>
  <c r="N86" i="5"/>
  <c r="O86" i="5" s="1"/>
  <c r="L86" i="5"/>
  <c r="M86" i="5" s="1"/>
  <c r="K86" i="5"/>
  <c r="G86" i="5"/>
  <c r="F86" i="5"/>
  <c r="N85" i="5"/>
  <c r="O85" i="5" s="1"/>
  <c r="L85" i="5"/>
  <c r="M85" i="5" s="1"/>
  <c r="K85" i="5"/>
  <c r="G85" i="5"/>
  <c r="F85" i="5"/>
  <c r="N84" i="5"/>
  <c r="O84" i="5" s="1"/>
  <c r="L84" i="5"/>
  <c r="M84" i="5" s="1"/>
  <c r="K84" i="5"/>
  <c r="G84" i="5"/>
  <c r="F84" i="5"/>
  <c r="K83" i="5"/>
  <c r="L83" i="5" s="1"/>
  <c r="G83" i="5"/>
  <c r="F83" i="5"/>
  <c r="K82" i="5"/>
  <c r="L82" i="5" s="1"/>
  <c r="G82" i="5"/>
  <c r="F82" i="5"/>
  <c r="K81" i="5"/>
  <c r="G81" i="5"/>
  <c r="F81" i="5"/>
  <c r="K80" i="5"/>
  <c r="G80" i="5"/>
  <c r="F80" i="5"/>
  <c r="N79" i="5"/>
  <c r="O79" i="5" s="1"/>
  <c r="L79" i="5"/>
  <c r="M79" i="5" s="1"/>
  <c r="K79" i="5"/>
  <c r="G79" i="5"/>
  <c r="F79" i="5"/>
  <c r="N78" i="5"/>
  <c r="O78" i="5" s="1"/>
  <c r="L78" i="5"/>
  <c r="M78" i="5" s="1"/>
  <c r="K78" i="5"/>
  <c r="G78" i="5"/>
  <c r="F78" i="5"/>
  <c r="N77" i="5"/>
  <c r="O77" i="5" s="1"/>
  <c r="L77" i="5"/>
  <c r="M77" i="5" s="1"/>
  <c r="K77" i="5"/>
  <c r="G77" i="5"/>
  <c r="F77" i="5"/>
  <c r="N76" i="5"/>
  <c r="O76" i="5" s="1"/>
  <c r="L76" i="5"/>
  <c r="M76" i="5" s="1"/>
  <c r="K76" i="5"/>
  <c r="G76" i="5"/>
  <c r="F76" i="5"/>
  <c r="N75" i="5"/>
  <c r="O75" i="5" s="1"/>
  <c r="L75" i="5"/>
  <c r="M75" i="5" s="1"/>
  <c r="K75" i="5"/>
  <c r="G75" i="5"/>
  <c r="F75" i="5"/>
  <c r="N74" i="5"/>
  <c r="O74" i="5" s="1"/>
  <c r="L74" i="5"/>
  <c r="M74" i="5" s="1"/>
  <c r="K74" i="5"/>
  <c r="G74" i="5"/>
  <c r="F74" i="5"/>
  <c r="N73" i="5"/>
  <c r="O73" i="5" s="1"/>
  <c r="L73" i="5"/>
  <c r="M73" i="5" s="1"/>
  <c r="K73" i="5"/>
  <c r="G73" i="5"/>
  <c r="F73" i="5"/>
  <c r="N72" i="5"/>
  <c r="O72" i="5" s="1"/>
  <c r="L72" i="5"/>
  <c r="M72" i="5" s="1"/>
  <c r="K72" i="5"/>
  <c r="G72" i="5"/>
  <c r="F72" i="5"/>
  <c r="N71" i="5"/>
  <c r="O71" i="5" s="1"/>
  <c r="L71" i="5"/>
  <c r="M71" i="5" s="1"/>
  <c r="K71" i="5"/>
  <c r="G71" i="5"/>
  <c r="F71" i="5"/>
  <c r="N70" i="5"/>
  <c r="O70" i="5" s="1"/>
  <c r="L70" i="5"/>
  <c r="M70" i="5" s="1"/>
  <c r="K70" i="5"/>
  <c r="G70" i="5"/>
  <c r="F70" i="5"/>
  <c r="N69" i="5"/>
  <c r="O69" i="5" s="1"/>
  <c r="L69" i="5"/>
  <c r="M69" i="5" s="1"/>
  <c r="K69" i="5"/>
  <c r="G69" i="5"/>
  <c r="F69" i="5"/>
  <c r="N68" i="5"/>
  <c r="O68" i="5" s="1"/>
  <c r="L68" i="5"/>
  <c r="M68" i="5" s="1"/>
  <c r="K68" i="5"/>
  <c r="G68" i="5"/>
  <c r="F68" i="5"/>
  <c r="N67" i="5"/>
  <c r="O67" i="5" s="1"/>
  <c r="L67" i="5"/>
  <c r="M67" i="5" s="1"/>
  <c r="K67" i="5"/>
  <c r="G67" i="5"/>
  <c r="F67" i="5"/>
  <c r="N66" i="5"/>
  <c r="O66" i="5" s="1"/>
  <c r="L66" i="5"/>
  <c r="M66" i="5" s="1"/>
  <c r="K66" i="5"/>
  <c r="G66" i="5"/>
  <c r="F66" i="5"/>
  <c r="N65" i="5"/>
  <c r="O65" i="5" s="1"/>
  <c r="L65" i="5"/>
  <c r="M65" i="5" s="1"/>
  <c r="K65" i="5"/>
  <c r="G65" i="5"/>
  <c r="F65" i="5"/>
  <c r="N64" i="5"/>
  <c r="O64" i="5" s="1"/>
  <c r="L64" i="5"/>
  <c r="M64" i="5" s="1"/>
  <c r="K64" i="5"/>
  <c r="G64" i="5"/>
  <c r="F64" i="5"/>
  <c r="N63" i="5"/>
  <c r="O63" i="5" s="1"/>
  <c r="L63" i="5"/>
  <c r="M63" i="5" s="1"/>
  <c r="K63" i="5"/>
  <c r="G63" i="5"/>
  <c r="F63" i="5"/>
  <c r="N62" i="5"/>
  <c r="O62" i="5" s="1"/>
  <c r="L62" i="5"/>
  <c r="M62" i="5" s="1"/>
  <c r="K62" i="5"/>
  <c r="G62" i="5"/>
  <c r="F62" i="5"/>
  <c r="N61" i="5"/>
  <c r="O61" i="5" s="1"/>
  <c r="L61" i="5"/>
  <c r="M61" i="5" s="1"/>
  <c r="K61" i="5"/>
  <c r="G61" i="5"/>
  <c r="F61" i="5"/>
  <c r="N60" i="5"/>
  <c r="O60" i="5" s="1"/>
  <c r="L60" i="5"/>
  <c r="M60" i="5" s="1"/>
  <c r="K60" i="5"/>
  <c r="G60" i="5"/>
  <c r="F60" i="5"/>
  <c r="N59" i="5"/>
  <c r="O59" i="5" s="1"/>
  <c r="L59" i="5"/>
  <c r="M59" i="5" s="1"/>
  <c r="K59" i="5"/>
  <c r="G59" i="5"/>
  <c r="F59" i="5"/>
  <c r="N58" i="5"/>
  <c r="O58" i="5" s="1"/>
  <c r="L58" i="5"/>
  <c r="M58" i="5" s="1"/>
  <c r="K58" i="5"/>
  <c r="G58" i="5"/>
  <c r="F58" i="5"/>
  <c r="N57" i="5"/>
  <c r="O57" i="5" s="1"/>
  <c r="L57" i="5"/>
  <c r="M57" i="5" s="1"/>
  <c r="K57" i="5"/>
  <c r="G57" i="5"/>
  <c r="F57" i="5"/>
  <c r="N56" i="5"/>
  <c r="O56" i="5" s="1"/>
  <c r="L56" i="5"/>
  <c r="M56" i="5" s="1"/>
  <c r="K56" i="5"/>
  <c r="G56" i="5"/>
  <c r="F56" i="5"/>
  <c r="N55" i="5"/>
  <c r="O55" i="5" s="1"/>
  <c r="L55" i="5"/>
  <c r="M55" i="5" s="1"/>
  <c r="K55" i="5"/>
  <c r="G55" i="5"/>
  <c r="F55" i="5"/>
  <c r="N54" i="5"/>
  <c r="O54" i="5" s="1"/>
  <c r="L54" i="5"/>
  <c r="M54" i="5" s="1"/>
  <c r="K54" i="5"/>
  <c r="G54" i="5"/>
  <c r="F54" i="5"/>
  <c r="N53" i="5"/>
  <c r="O53" i="5" s="1"/>
  <c r="L53" i="5"/>
  <c r="M53" i="5" s="1"/>
  <c r="K53" i="5"/>
  <c r="G53" i="5"/>
  <c r="F53" i="5"/>
  <c r="N52" i="5"/>
  <c r="O52" i="5" s="1"/>
  <c r="L52" i="5"/>
  <c r="M52" i="5" s="1"/>
  <c r="K52" i="5"/>
  <c r="G52" i="5"/>
  <c r="F52" i="5"/>
  <c r="N51" i="5"/>
  <c r="O51" i="5" s="1"/>
  <c r="L51" i="5"/>
  <c r="M51" i="5" s="1"/>
  <c r="K51" i="5"/>
  <c r="G51" i="5"/>
  <c r="F51" i="5"/>
  <c r="N50" i="5"/>
  <c r="O50" i="5" s="1"/>
  <c r="L50" i="5"/>
  <c r="M50" i="5" s="1"/>
  <c r="K50" i="5"/>
  <c r="G50" i="5"/>
  <c r="F50" i="5"/>
  <c r="N49" i="5"/>
  <c r="O49" i="5" s="1"/>
  <c r="L49" i="5"/>
  <c r="M49" i="5" s="1"/>
  <c r="K49" i="5"/>
  <c r="G49" i="5"/>
  <c r="F49" i="5"/>
  <c r="N48" i="5"/>
  <c r="O48" i="5" s="1"/>
  <c r="L48" i="5"/>
  <c r="M48" i="5" s="1"/>
  <c r="K48" i="5"/>
  <c r="G48" i="5"/>
  <c r="F48" i="5"/>
  <c r="N47" i="5"/>
  <c r="O47" i="5" s="1"/>
  <c r="L47" i="5"/>
  <c r="M47" i="5" s="1"/>
  <c r="K47" i="5"/>
  <c r="G47" i="5"/>
  <c r="F47" i="5"/>
  <c r="N46" i="5"/>
  <c r="O46" i="5" s="1"/>
  <c r="L46" i="5"/>
  <c r="M46" i="5" s="1"/>
  <c r="K46" i="5"/>
  <c r="G46" i="5"/>
  <c r="F46" i="5"/>
  <c r="N45" i="5"/>
  <c r="O45" i="5" s="1"/>
  <c r="L45" i="5"/>
  <c r="M45" i="5" s="1"/>
  <c r="K45" i="5"/>
  <c r="G45" i="5"/>
  <c r="F45" i="5"/>
  <c r="N44" i="5"/>
  <c r="O44" i="5" s="1"/>
  <c r="L44" i="5"/>
  <c r="M44" i="5" s="1"/>
  <c r="K44" i="5"/>
  <c r="G44" i="5"/>
  <c r="F44" i="5"/>
  <c r="N43" i="5"/>
  <c r="O43" i="5" s="1"/>
  <c r="L43" i="5"/>
  <c r="M43" i="5" s="1"/>
  <c r="K43" i="5"/>
  <c r="G43" i="5"/>
  <c r="F43" i="5"/>
  <c r="N42" i="5"/>
  <c r="O42" i="5" s="1"/>
  <c r="L42" i="5"/>
  <c r="M42" i="5" s="1"/>
  <c r="K42" i="5"/>
  <c r="G42" i="5"/>
  <c r="F42" i="5"/>
  <c r="N41" i="5"/>
  <c r="O41" i="5" s="1"/>
  <c r="L41" i="5"/>
  <c r="M41" i="5" s="1"/>
  <c r="K41" i="5"/>
  <c r="G41" i="5"/>
  <c r="F41" i="5"/>
  <c r="N40" i="5"/>
  <c r="O40" i="5" s="1"/>
  <c r="L40" i="5"/>
  <c r="M40" i="5" s="1"/>
  <c r="K40" i="5"/>
  <c r="G40" i="5"/>
  <c r="F40" i="5"/>
  <c r="N39" i="5"/>
  <c r="O39" i="5" s="1"/>
  <c r="L39" i="5"/>
  <c r="M39" i="5" s="1"/>
  <c r="K39" i="5"/>
  <c r="G39" i="5"/>
  <c r="F39" i="5"/>
  <c r="N38" i="5"/>
  <c r="O38" i="5" s="1"/>
  <c r="L38" i="5"/>
  <c r="M38" i="5" s="1"/>
  <c r="K38" i="5"/>
  <c r="G38" i="5"/>
  <c r="F38" i="5"/>
  <c r="N37" i="5"/>
  <c r="O37" i="5" s="1"/>
  <c r="L37" i="5"/>
  <c r="M37" i="5" s="1"/>
  <c r="K37" i="5"/>
  <c r="G37" i="5"/>
  <c r="F37" i="5"/>
  <c r="N36" i="5"/>
  <c r="O36" i="5" s="1"/>
  <c r="L36" i="5"/>
  <c r="M36" i="5" s="1"/>
  <c r="K36" i="5"/>
  <c r="G36" i="5"/>
  <c r="F36" i="5"/>
  <c r="N35" i="5"/>
  <c r="O35" i="5" s="1"/>
  <c r="L35" i="5"/>
  <c r="M35" i="5" s="1"/>
  <c r="K35" i="5"/>
  <c r="G35" i="5"/>
  <c r="F35" i="5"/>
  <c r="N34" i="5"/>
  <c r="O34" i="5" s="1"/>
  <c r="L34" i="5"/>
  <c r="M34" i="5" s="1"/>
  <c r="K34" i="5"/>
  <c r="G34" i="5"/>
  <c r="F34" i="5"/>
  <c r="N33" i="5"/>
  <c r="O33" i="5" s="1"/>
  <c r="L33" i="5"/>
  <c r="M33" i="5" s="1"/>
  <c r="K33" i="5"/>
  <c r="G33" i="5"/>
  <c r="F33" i="5"/>
  <c r="N32" i="5"/>
  <c r="O32" i="5" s="1"/>
  <c r="L32" i="5"/>
  <c r="M32" i="5" s="1"/>
  <c r="K32" i="5"/>
  <c r="G32" i="5"/>
  <c r="F32" i="5"/>
  <c r="N31" i="5"/>
  <c r="O31" i="5" s="1"/>
  <c r="L31" i="5"/>
  <c r="M31" i="5" s="1"/>
  <c r="K31" i="5"/>
  <c r="G31" i="5"/>
  <c r="F31" i="5"/>
  <c r="N30" i="5"/>
  <c r="O30" i="5" s="1"/>
  <c r="L30" i="5"/>
  <c r="M30" i="5" s="1"/>
  <c r="K30" i="5"/>
  <c r="G30" i="5"/>
  <c r="F30" i="5"/>
  <c r="N29" i="5"/>
  <c r="O29" i="5" s="1"/>
  <c r="L29" i="5"/>
  <c r="M29" i="5" s="1"/>
  <c r="K29" i="5"/>
  <c r="G29" i="5"/>
  <c r="F29" i="5"/>
  <c r="N28" i="5"/>
  <c r="O28" i="5" s="1"/>
  <c r="L28" i="5"/>
  <c r="M28" i="5" s="1"/>
  <c r="K28" i="5"/>
  <c r="G28" i="5"/>
  <c r="F28" i="5"/>
  <c r="N27" i="5"/>
  <c r="O27" i="5" s="1"/>
  <c r="L27" i="5"/>
  <c r="M27" i="5" s="1"/>
  <c r="K27" i="5"/>
  <c r="G27" i="5"/>
  <c r="F27" i="5"/>
  <c r="N26" i="5"/>
  <c r="O26" i="5" s="1"/>
  <c r="L26" i="5"/>
  <c r="M26" i="5" s="1"/>
  <c r="K26" i="5"/>
  <c r="G26" i="5"/>
  <c r="F26" i="5"/>
  <c r="N25" i="5"/>
  <c r="O25" i="5" s="1"/>
  <c r="L25" i="5"/>
  <c r="M25" i="5" s="1"/>
  <c r="K25" i="5"/>
  <c r="G25" i="5"/>
  <c r="F25" i="5"/>
  <c r="N24" i="5"/>
  <c r="O24" i="5" s="1"/>
  <c r="L24" i="5"/>
  <c r="M24" i="5" s="1"/>
  <c r="K24" i="5"/>
  <c r="G24" i="5"/>
  <c r="F24" i="5"/>
  <c r="N23" i="5"/>
  <c r="O23" i="5" s="1"/>
  <c r="L23" i="5"/>
  <c r="M23" i="5" s="1"/>
  <c r="K23" i="5"/>
  <c r="G23" i="5"/>
  <c r="F23" i="5"/>
  <c r="N22" i="5"/>
  <c r="O22" i="5" s="1"/>
  <c r="L22" i="5"/>
  <c r="M22" i="5" s="1"/>
  <c r="K22" i="5"/>
  <c r="G22" i="5"/>
  <c r="F22" i="5"/>
  <c r="N21" i="5"/>
  <c r="O21" i="5" s="1"/>
  <c r="L21" i="5"/>
  <c r="M21" i="5" s="1"/>
  <c r="K21" i="5"/>
  <c r="G21" i="5"/>
  <c r="F21" i="5"/>
  <c r="N20" i="5"/>
  <c r="O20" i="5" s="1"/>
  <c r="L20" i="5"/>
  <c r="M20" i="5" s="1"/>
  <c r="K20" i="5"/>
  <c r="G20" i="5"/>
  <c r="F20" i="5"/>
  <c r="N19" i="5"/>
  <c r="O19" i="5" s="1"/>
  <c r="L19" i="5"/>
  <c r="M19" i="5" s="1"/>
  <c r="K19" i="5"/>
  <c r="G19" i="5"/>
  <c r="F19" i="5"/>
  <c r="N18" i="5"/>
  <c r="O18" i="5" s="1"/>
  <c r="L18" i="5"/>
  <c r="M18" i="5" s="1"/>
  <c r="K18" i="5"/>
  <c r="G18" i="5"/>
  <c r="F18" i="5"/>
  <c r="N17" i="5"/>
  <c r="O17" i="5" s="1"/>
  <c r="L17" i="5"/>
  <c r="M17" i="5" s="1"/>
  <c r="K17" i="5"/>
  <c r="G17" i="5"/>
  <c r="F17" i="5"/>
  <c r="K16" i="5"/>
  <c r="L16" i="5" s="1"/>
  <c r="G16" i="5"/>
  <c r="F16" i="5"/>
  <c r="L15" i="5"/>
  <c r="K15" i="5"/>
  <c r="G15" i="5"/>
  <c r="F15" i="5"/>
  <c r="K14" i="5"/>
  <c r="L14" i="5" s="1"/>
  <c r="G14" i="5"/>
  <c r="F14" i="5"/>
  <c r="N13" i="5"/>
  <c r="O13" i="5" s="1"/>
  <c r="L13" i="5"/>
  <c r="M13" i="5" s="1"/>
  <c r="K13" i="5"/>
  <c r="G13" i="5"/>
  <c r="F13" i="5"/>
  <c r="N12" i="5"/>
  <c r="O12" i="5" s="1"/>
  <c r="L12" i="5"/>
  <c r="M12" i="5" s="1"/>
  <c r="K12" i="5"/>
  <c r="G12" i="5"/>
  <c r="F12" i="5"/>
  <c r="N11" i="5"/>
  <c r="O11" i="5" s="1"/>
  <c r="L11" i="5"/>
  <c r="M11" i="5" s="1"/>
  <c r="K11" i="5"/>
  <c r="G11" i="5"/>
  <c r="F11" i="5"/>
  <c r="N10" i="5"/>
  <c r="L10" i="5"/>
  <c r="M10" i="5" s="1"/>
  <c r="K10" i="5"/>
  <c r="G10" i="5"/>
  <c r="F10" i="5"/>
  <c r="N9" i="5"/>
  <c r="O9" i="5" s="1"/>
  <c r="L9" i="5"/>
  <c r="M9" i="5" s="1"/>
  <c r="K9" i="5"/>
  <c r="G9" i="5"/>
  <c r="F9" i="5"/>
  <c r="N8" i="5"/>
  <c r="O8" i="5" s="1"/>
  <c r="L8" i="5"/>
  <c r="M8" i="5" s="1"/>
  <c r="K8" i="5"/>
  <c r="G8" i="5"/>
  <c r="F8" i="5"/>
  <c r="N7" i="5"/>
  <c r="O7" i="5" s="1"/>
  <c r="L7" i="5"/>
  <c r="M7" i="5" s="1"/>
  <c r="K7" i="5"/>
  <c r="G7" i="5"/>
  <c r="F7" i="5"/>
  <c r="N6" i="5"/>
  <c r="O6" i="5" s="1"/>
  <c r="L6" i="5"/>
  <c r="M6" i="5" s="1"/>
  <c r="K6" i="5"/>
  <c r="G6" i="5"/>
  <c r="F6" i="5"/>
  <c r="J185" i="4"/>
  <c r="N185" i="4" s="1"/>
  <c r="J184" i="4"/>
  <c r="N184" i="4" s="1"/>
  <c r="J183" i="4"/>
  <c r="N183" i="4" s="1"/>
  <c r="J182" i="4"/>
  <c r="J181" i="4"/>
  <c r="M181" i="4" s="1"/>
  <c r="J180" i="4"/>
  <c r="N180" i="4" s="1"/>
  <c r="J178" i="4"/>
  <c r="J177" i="4"/>
  <c r="M177" i="4" s="1"/>
  <c r="J176" i="4"/>
  <c r="M176" i="4" s="1"/>
  <c r="J175" i="4"/>
  <c r="M175" i="4" s="1"/>
  <c r="J149" i="4"/>
  <c r="N149" i="4" s="1"/>
  <c r="J148" i="4"/>
  <c r="M148" i="4" s="1"/>
  <c r="J147" i="4"/>
  <c r="M147" i="4" s="1"/>
  <c r="J146" i="4"/>
  <c r="N146" i="4" s="1"/>
  <c r="J145" i="4"/>
  <c r="J144" i="4"/>
  <c r="J143" i="4"/>
  <c r="M143" i="4" s="1"/>
  <c r="J142" i="4"/>
  <c r="N142" i="4" s="1"/>
  <c r="J141" i="4"/>
  <c r="M141" i="4" s="1"/>
  <c r="J140" i="4"/>
  <c r="N140" i="4" s="1"/>
  <c r="J139" i="4"/>
  <c r="J138" i="4"/>
  <c r="M138" i="4" s="1"/>
  <c r="J137" i="4"/>
  <c r="M137" i="4" s="1"/>
  <c r="J136" i="4"/>
  <c r="N136" i="4" s="1"/>
  <c r="J135" i="4"/>
  <c r="M135" i="4" s="1"/>
  <c r="J134" i="4"/>
  <c r="N134" i="4" s="1"/>
  <c r="J133" i="4"/>
  <c r="M133" i="4" s="1"/>
  <c r="J132" i="4"/>
  <c r="N132" i="4" s="1"/>
  <c r="J131" i="4"/>
  <c r="N131" i="4" s="1"/>
  <c r="J130" i="4"/>
  <c r="N130" i="4" s="1"/>
  <c r="J129" i="4"/>
  <c r="M129" i="4" s="1"/>
  <c r="J128" i="4"/>
  <c r="N128" i="4" s="1"/>
  <c r="J127" i="4"/>
  <c r="M127" i="4" s="1"/>
  <c r="J126" i="4"/>
  <c r="N126" i="4" s="1"/>
  <c r="J125" i="4"/>
  <c r="N125" i="4" s="1"/>
  <c r="J124" i="4"/>
  <c r="M124" i="4" s="1"/>
  <c r="J123" i="4"/>
  <c r="N123" i="4" s="1"/>
  <c r="J122" i="4"/>
  <c r="M122" i="4" s="1"/>
  <c r="J121" i="4"/>
  <c r="M121" i="4" s="1"/>
  <c r="J120" i="4"/>
  <c r="N120" i="4" s="1"/>
  <c r="J119" i="4"/>
  <c r="M119" i="4" s="1"/>
  <c r="J118" i="4"/>
  <c r="N118" i="4" s="1"/>
  <c r="J117" i="4"/>
  <c r="M117" i="4" s="1"/>
  <c r="J116" i="4"/>
  <c r="N116" i="4" s="1"/>
  <c r="J115" i="4"/>
  <c r="M115" i="4" s="1"/>
  <c r="J114" i="4"/>
  <c r="M114" i="4" s="1"/>
  <c r="J113" i="4"/>
  <c r="J112" i="4"/>
  <c r="M112" i="4" s="1"/>
  <c r="J111" i="4"/>
  <c r="M111" i="4" s="1"/>
  <c r="J110" i="4"/>
  <c r="N110" i="4" s="1"/>
  <c r="J109" i="4"/>
  <c r="M109" i="4" s="1"/>
  <c r="J108" i="4"/>
  <c r="M108" i="4" s="1"/>
  <c r="J107" i="4"/>
  <c r="N107" i="4" s="1"/>
  <c r="J106" i="4"/>
  <c r="N106" i="4" s="1"/>
  <c r="J105" i="4"/>
  <c r="N105" i="4" s="1"/>
  <c r="J104" i="4"/>
  <c r="N104" i="4" s="1"/>
  <c r="J103" i="4"/>
  <c r="M103" i="4" s="1"/>
  <c r="J102" i="4"/>
  <c r="N102" i="4" s="1"/>
  <c r="J101" i="4"/>
  <c r="J100" i="4"/>
  <c r="M100" i="4" s="1"/>
  <c r="J99" i="4"/>
  <c r="N99" i="4" s="1"/>
  <c r="J98" i="4"/>
  <c r="M98" i="4" s="1"/>
  <c r="J97" i="4"/>
  <c r="N97" i="4" s="1"/>
  <c r="J96" i="4"/>
  <c r="N96" i="4" s="1"/>
  <c r="J95" i="4"/>
  <c r="M95" i="4" s="1"/>
  <c r="J94" i="4"/>
  <c r="N94" i="4" s="1"/>
  <c r="J93" i="4"/>
  <c r="M93" i="4" s="1"/>
  <c r="J92" i="4"/>
  <c r="N92" i="4" s="1"/>
  <c r="J91" i="4"/>
  <c r="M91" i="4" s="1"/>
  <c r="J90" i="4"/>
  <c r="N90" i="4" s="1"/>
  <c r="J89" i="4"/>
  <c r="N89" i="4" s="1"/>
  <c r="J88" i="4"/>
  <c r="M88" i="4" s="1"/>
  <c r="J87" i="4"/>
  <c r="M87" i="4" s="1"/>
  <c r="J86" i="4"/>
  <c r="N86" i="4" s="1"/>
  <c r="J85" i="4"/>
  <c r="M85" i="4" s="1"/>
  <c r="J84" i="4"/>
  <c r="M84" i="4" s="1"/>
  <c r="J83" i="4"/>
  <c r="N83" i="4" s="1"/>
  <c r="J82" i="4"/>
  <c r="M82" i="4" s="1"/>
  <c r="J81" i="4"/>
  <c r="M81" i="4" s="1"/>
  <c r="J80" i="4"/>
  <c r="N80" i="4" s="1"/>
  <c r="J79" i="4"/>
  <c r="M79" i="4" s="1"/>
  <c r="J78" i="4"/>
  <c r="N78" i="4" s="1"/>
  <c r="J77" i="4"/>
  <c r="M77" i="4" s="1"/>
  <c r="J76" i="4"/>
  <c r="N76" i="4" s="1"/>
  <c r="J75" i="4"/>
  <c r="J74" i="4"/>
  <c r="M74" i="4" s="1"/>
  <c r="J73" i="4"/>
  <c r="N73" i="4" s="1"/>
  <c r="J72" i="4"/>
  <c r="M72" i="4" s="1"/>
  <c r="J71" i="4"/>
  <c r="M71" i="4" s="1"/>
  <c r="J70" i="4"/>
  <c r="N70" i="4" s="1"/>
  <c r="J69" i="4"/>
  <c r="E104" i="7" s="1"/>
  <c r="F104" i="7" s="1"/>
  <c r="J68" i="4"/>
  <c r="N68" i="4" s="1"/>
  <c r="J67" i="4"/>
  <c r="M67" i="4" s="1"/>
  <c r="J66" i="4"/>
  <c r="N66" i="4" s="1"/>
  <c r="J65" i="4"/>
  <c r="N65" i="4" s="1"/>
  <c r="J64" i="4"/>
  <c r="N64" i="4" s="1"/>
  <c r="J63" i="4"/>
  <c r="M63" i="4" s="1"/>
  <c r="J62" i="4"/>
  <c r="N62" i="4" s="1"/>
  <c r="J61" i="4"/>
  <c r="N61" i="4" s="1"/>
  <c r="J60" i="4"/>
  <c r="N60" i="4" s="1"/>
  <c r="J59" i="4"/>
  <c r="M59" i="4" s="1"/>
  <c r="J58" i="4"/>
  <c r="N58" i="4" s="1"/>
  <c r="J57" i="4"/>
  <c r="N57" i="4" s="1"/>
  <c r="J56" i="4"/>
  <c r="M56" i="4" s="1"/>
  <c r="J55" i="4"/>
  <c r="M55" i="4" s="1"/>
  <c r="J54" i="4"/>
  <c r="N54" i="4" s="1"/>
  <c r="J53" i="4"/>
  <c r="M53" i="4" s="1"/>
  <c r="J52" i="4"/>
  <c r="M52" i="4" s="1"/>
  <c r="J51" i="4"/>
  <c r="M51" i="4" s="1"/>
  <c r="J50" i="4"/>
  <c r="N50" i="4" s="1"/>
  <c r="J49" i="4"/>
  <c r="J48" i="4"/>
  <c r="N48" i="4" s="1"/>
  <c r="J47" i="4"/>
  <c r="M47" i="4" s="1"/>
  <c r="J46" i="4"/>
  <c r="N46" i="4" s="1"/>
  <c r="J45" i="4"/>
  <c r="M45" i="4" s="1"/>
  <c r="J44" i="4"/>
  <c r="N44" i="4" s="1"/>
  <c r="J43" i="4"/>
  <c r="J42" i="4"/>
  <c r="N42" i="4" s="1"/>
  <c r="J41" i="4"/>
  <c r="M41" i="4" s="1"/>
  <c r="J40" i="4"/>
  <c r="N40" i="4" s="1"/>
  <c r="J39" i="4"/>
  <c r="M39" i="4" s="1"/>
  <c r="J38" i="4"/>
  <c r="N38" i="4" s="1"/>
  <c r="J37" i="4"/>
  <c r="M37" i="4" s="1"/>
  <c r="J36" i="4"/>
  <c r="N36" i="4" s="1"/>
  <c r="J35" i="4"/>
  <c r="N35" i="4" s="1"/>
  <c r="J34" i="4"/>
  <c r="N34" i="4" s="1"/>
  <c r="J33" i="4"/>
  <c r="M33" i="4" s="1"/>
  <c r="J32" i="4"/>
  <c r="N32" i="4" s="1"/>
  <c r="J31" i="4"/>
  <c r="M31" i="4" s="1"/>
  <c r="J30" i="4"/>
  <c r="N30" i="4" s="1"/>
  <c r="J29" i="4"/>
  <c r="N29" i="4" s="1"/>
  <c r="J28" i="4"/>
  <c r="M28" i="4" s="1"/>
  <c r="J27" i="4"/>
  <c r="M27" i="4" s="1"/>
  <c r="J26" i="4"/>
  <c r="J25" i="4"/>
  <c r="M25" i="4" s="1"/>
  <c r="J24" i="4"/>
  <c r="N24" i="4" s="1"/>
  <c r="J23" i="4"/>
  <c r="M23" i="4" s="1"/>
  <c r="J22" i="4"/>
  <c r="N22" i="4" s="1"/>
  <c r="J21" i="4"/>
  <c r="N21" i="4" s="1"/>
  <c r="J20" i="4"/>
  <c r="N20" i="4" s="1"/>
  <c r="J19" i="4"/>
  <c r="M19" i="4" s="1"/>
  <c r="J18" i="4"/>
  <c r="N18" i="4" s="1"/>
  <c r="J17" i="4"/>
  <c r="E117" i="7" s="1"/>
  <c r="F117" i="7" s="1"/>
  <c r="J16" i="4"/>
  <c r="N16" i="4" s="1"/>
  <c r="J15" i="4"/>
  <c r="M15" i="4" s="1"/>
  <c r="J14" i="4"/>
  <c r="N14" i="4" s="1"/>
  <c r="J13" i="4"/>
  <c r="J12" i="4"/>
  <c r="M12" i="4" s="1"/>
  <c r="J11" i="4"/>
  <c r="N11" i="4" s="1"/>
  <c r="J10" i="4"/>
  <c r="J9" i="4"/>
  <c r="J8" i="4"/>
  <c r="J7" i="4"/>
  <c r="N7" i="4" s="1"/>
  <c r="J6" i="4"/>
  <c r="E64" i="7" s="1"/>
  <c r="F64" i="7" s="1"/>
  <c r="B8" i="2"/>
  <c r="N59" i="4" l="1"/>
  <c r="E23" i="7"/>
  <c r="F23" i="7" s="1"/>
  <c r="E85" i="7"/>
  <c r="F85" i="7" s="1"/>
  <c r="E56" i="7"/>
  <c r="F56" i="7" s="1"/>
  <c r="M132" i="4"/>
  <c r="E54" i="7"/>
  <c r="F54" i="7" s="1"/>
  <c r="E68" i="7"/>
  <c r="F68" i="7" s="1"/>
  <c r="E53" i="7"/>
  <c r="F53" i="7" s="1"/>
  <c r="E41" i="7"/>
  <c r="F41" i="7" s="1"/>
  <c r="N119" i="4"/>
  <c r="N138" i="4"/>
  <c r="E58" i="7"/>
  <c r="F58" i="7" s="1"/>
  <c r="M80" i="4"/>
  <c r="E72" i="7"/>
  <c r="F72" i="7" s="1"/>
  <c r="N23" i="4"/>
  <c r="N67" i="4"/>
  <c r="E24" i="7"/>
  <c r="F24" i="7" s="1"/>
  <c r="M146" i="4"/>
  <c r="E69" i="7"/>
  <c r="F69" i="7" s="1"/>
  <c r="N87" i="4"/>
  <c r="N111" i="4"/>
  <c r="E30" i="7"/>
  <c r="F30" i="7" s="1"/>
  <c r="E80" i="7"/>
  <c r="F80" i="7" s="1"/>
  <c r="M40" i="4"/>
  <c r="M126" i="4"/>
  <c r="N112" i="4"/>
  <c r="E32" i="7"/>
  <c r="F32" i="7" s="1"/>
  <c r="E93" i="7"/>
  <c r="F93" i="7" s="1"/>
  <c r="M20" i="4"/>
  <c r="E42" i="7"/>
  <c r="F42" i="7" s="1"/>
  <c r="E96" i="7"/>
  <c r="F96" i="7" s="1"/>
  <c r="E44" i="7"/>
  <c r="F44" i="7" s="1"/>
  <c r="E45" i="7"/>
  <c r="F45" i="7" s="1"/>
  <c r="E100" i="7"/>
  <c r="F100" i="7" s="1"/>
  <c r="E62" i="7"/>
  <c r="F62" i="7" s="1"/>
  <c r="E46" i="7"/>
  <c r="F46" i="7" s="1"/>
  <c r="E105" i="7"/>
  <c r="F105" i="7" s="1"/>
  <c r="M92" i="4"/>
  <c r="E86" i="7"/>
  <c r="F86" i="7" s="1"/>
  <c r="N74" i="4"/>
  <c r="M35" i="4"/>
  <c r="E48" i="7"/>
  <c r="F48" i="7" s="1"/>
  <c r="E98" i="7"/>
  <c r="F98" i="7" s="1"/>
  <c r="N137" i="4"/>
  <c r="N15" i="4"/>
  <c r="N100" i="4"/>
  <c r="M65" i="4"/>
  <c r="E25" i="7"/>
  <c r="F25" i="7" s="1"/>
  <c r="E49" i="7"/>
  <c r="F49" i="7" s="1"/>
  <c r="E101" i="7"/>
  <c r="F101" i="7" s="1"/>
  <c r="M62" i="4"/>
  <c r="M76" i="4"/>
  <c r="E74" i="7"/>
  <c r="F74" i="7" s="1"/>
  <c r="N13" i="4"/>
  <c r="M26" i="4"/>
  <c r="N117" i="4"/>
  <c r="M130" i="4"/>
  <c r="M144" i="4"/>
  <c r="E26" i="7"/>
  <c r="F26" i="7" s="1"/>
  <c r="E50" i="7"/>
  <c r="F50" i="7" s="1"/>
  <c r="E76" i="7"/>
  <c r="F76" i="7" s="1"/>
  <c r="E102" i="7"/>
  <c r="F102" i="7" s="1"/>
  <c r="M36" i="4"/>
  <c r="E70" i="7"/>
  <c r="F70" i="7" s="1"/>
  <c r="M128" i="4"/>
  <c r="M116" i="4"/>
  <c r="M78" i="4"/>
  <c r="M13" i="4"/>
  <c r="N39" i="4"/>
  <c r="N52" i="4"/>
  <c r="N91" i="4"/>
  <c r="M104" i="4"/>
  <c r="N26" i="4"/>
  <c r="N144" i="4"/>
  <c r="E77" i="7"/>
  <c r="F77" i="7" s="1"/>
  <c r="M14" i="4"/>
  <c r="M66" i="4"/>
  <c r="M106" i="4"/>
  <c r="M118" i="4"/>
  <c r="M131" i="4"/>
  <c r="E28" i="7"/>
  <c r="F28" i="7" s="1"/>
  <c r="E52" i="7"/>
  <c r="F52" i="7" s="1"/>
  <c r="E78" i="7"/>
  <c r="F78" i="7" s="1"/>
  <c r="N41" i="4"/>
  <c r="N55" i="4"/>
  <c r="N93" i="4"/>
  <c r="E29" i="7"/>
  <c r="F29" i="7" s="1"/>
  <c r="E106" i="7"/>
  <c r="F106" i="7" s="1"/>
  <c r="E97" i="7"/>
  <c r="F97" i="7" s="1"/>
  <c r="N12" i="4"/>
  <c r="M64" i="4"/>
  <c r="M94" i="4"/>
  <c r="M30" i="4"/>
  <c r="M68" i="4"/>
  <c r="E109" i="7"/>
  <c r="F109" i="7" s="1"/>
  <c r="M57" i="4"/>
  <c r="N95" i="4"/>
  <c r="N121" i="4"/>
  <c r="N148" i="4"/>
  <c r="E84" i="7"/>
  <c r="F84" i="7" s="1"/>
  <c r="E60" i="7"/>
  <c r="F60" i="7" s="1"/>
  <c r="E113" i="7"/>
  <c r="F113" i="7" s="1"/>
  <c r="N127" i="4"/>
  <c r="M24" i="4"/>
  <c r="N103" i="4"/>
  <c r="M142" i="4"/>
  <c r="M42" i="4"/>
  <c r="E108" i="7"/>
  <c r="F108" i="7" s="1"/>
  <c r="M16" i="4"/>
  <c r="N108" i="4"/>
  <c r="M83" i="4"/>
  <c r="E110" i="7"/>
  <c r="F110" i="7" s="1"/>
  <c r="E34" i="7"/>
  <c r="F34" i="7" s="1"/>
  <c r="M96" i="4"/>
  <c r="N109" i="4"/>
  <c r="N135" i="4"/>
  <c r="E112" i="7"/>
  <c r="F112" i="7" s="1"/>
  <c r="M32" i="4"/>
  <c r="M58" i="4"/>
  <c r="M46" i="4"/>
  <c r="N71" i="4"/>
  <c r="N84" i="4"/>
  <c r="M110" i="4"/>
  <c r="N122" i="4"/>
  <c r="M136" i="4"/>
  <c r="E37" i="7"/>
  <c r="F37" i="7" s="1"/>
  <c r="E61" i="7"/>
  <c r="F61" i="7" s="1"/>
  <c r="E88" i="7"/>
  <c r="F88" i="7" s="1"/>
  <c r="E114" i="7"/>
  <c r="F114" i="7" s="1"/>
  <c r="N51" i="4"/>
  <c r="E81" i="7"/>
  <c r="F81" i="7" s="1"/>
  <c r="M120" i="4"/>
  <c r="E82" i="7"/>
  <c r="F82" i="7" s="1"/>
  <c r="E57" i="7"/>
  <c r="F57" i="7" s="1"/>
  <c r="E36" i="7"/>
  <c r="F36" i="7" s="1"/>
  <c r="E38" i="7"/>
  <c r="F38" i="7" s="1"/>
  <c r="E89" i="7"/>
  <c r="F89" i="7" s="1"/>
  <c r="M22" i="4"/>
  <c r="E94" i="7"/>
  <c r="F94" i="7" s="1"/>
  <c r="E90" i="7"/>
  <c r="F90" i="7" s="1"/>
  <c r="E116" i="7"/>
  <c r="F116" i="7" s="1"/>
  <c r="M102" i="4"/>
  <c r="N56" i="4"/>
  <c r="E33" i="7"/>
  <c r="F33" i="7" s="1"/>
  <c r="M21" i="4"/>
  <c r="M48" i="4"/>
  <c r="E40" i="7"/>
  <c r="F40" i="7" s="1"/>
  <c r="E65" i="7"/>
  <c r="F65" i="7" s="1"/>
  <c r="M50" i="4"/>
  <c r="M90" i="4"/>
  <c r="N82" i="4"/>
  <c r="N147" i="4"/>
  <c r="N31" i="4"/>
  <c r="M34" i="4"/>
  <c r="M86" i="4"/>
  <c r="M60" i="4"/>
  <c r="E66" i="7"/>
  <c r="F66" i="7" s="1"/>
  <c r="E92" i="7"/>
  <c r="F92" i="7" s="1"/>
  <c r="E118" i="7"/>
  <c r="F118" i="7" s="1"/>
  <c r="M10" i="4"/>
  <c r="M8" i="4"/>
  <c r="N177" i="4"/>
  <c r="M184" i="4"/>
  <c r="N176" i="4"/>
  <c r="N181" i="4"/>
  <c r="M183" i="4"/>
  <c r="M6" i="4"/>
  <c r="M744" i="5"/>
  <c r="N744" i="5"/>
  <c r="O744" i="5" s="1"/>
  <c r="N745" i="5"/>
  <c r="O745" i="5" s="1"/>
  <c r="M745" i="5"/>
  <c r="M713" i="5"/>
  <c r="N713" i="5"/>
  <c r="O713" i="5" s="1"/>
  <c r="N712" i="5"/>
  <c r="O712" i="5" s="1"/>
  <c r="M705" i="5"/>
  <c r="N705" i="5"/>
  <c r="O705" i="5" s="1"/>
  <c r="N704" i="5"/>
  <c r="O704" i="5" s="1"/>
  <c r="M704" i="5"/>
  <c r="N702" i="5"/>
  <c r="O702" i="5" s="1"/>
  <c r="M702" i="5"/>
  <c r="N43" i="4"/>
  <c r="M43" i="4"/>
  <c r="N69" i="4"/>
  <c r="M69" i="4"/>
  <c r="N145" i="4"/>
  <c r="M145" i="4"/>
  <c r="N17" i="4"/>
  <c r="M17" i="4"/>
  <c r="N33" i="4"/>
  <c r="L81" i="5"/>
  <c r="M263" i="5"/>
  <c r="N263" i="5" s="1"/>
  <c r="O263" i="5" s="1"/>
  <c r="M265" i="5"/>
  <c r="N265" i="5" s="1"/>
  <c r="O265" i="5" s="1"/>
  <c r="M14" i="5"/>
  <c r="N14" i="5" s="1"/>
  <c r="N85" i="4"/>
  <c r="N178" i="4"/>
  <c r="M178" i="4"/>
  <c r="N49" i="4"/>
  <c r="M49" i="4"/>
  <c r="N75" i="4"/>
  <c r="M75" i="4"/>
  <c r="M82" i="5"/>
  <c r="N82" i="5"/>
  <c r="O82" i="5" s="1"/>
  <c r="N15" i="5"/>
  <c r="O15" i="5" s="1"/>
  <c r="N101" i="4"/>
  <c r="M101" i="4"/>
  <c r="N113" i="4"/>
  <c r="M113" i="4"/>
  <c r="N139" i="4"/>
  <c r="M139" i="4"/>
  <c r="M83" i="5"/>
  <c r="N83" i="5" s="1"/>
  <c r="N77" i="4"/>
  <c r="M16" i="5"/>
  <c r="N16" i="5"/>
  <c r="O16" i="5" s="1"/>
  <c r="N182" i="4"/>
  <c r="M182" i="4"/>
  <c r="N129" i="4"/>
  <c r="N25" i="4"/>
  <c r="M105" i="4"/>
  <c r="N27" i="4"/>
  <c r="N53" i="4"/>
  <c r="M89" i="4"/>
  <c r="N19" i="4"/>
  <c r="N45" i="4"/>
  <c r="N63" i="4"/>
  <c r="N115" i="4"/>
  <c r="N141" i="4"/>
  <c r="N37" i="4"/>
  <c r="N81" i="4"/>
  <c r="N133" i="4"/>
  <c r="M61" i="4"/>
  <c r="M18" i="4"/>
  <c r="M9" i="4"/>
  <c r="E63" i="7"/>
  <c r="F63" i="7" s="1"/>
  <c r="N6" i="4"/>
  <c r="E73" i="7"/>
  <c r="F73" i="7" s="1"/>
  <c r="M7" i="4"/>
  <c r="N8" i="4"/>
  <c r="M15" i="5"/>
  <c r="M44" i="4"/>
  <c r="M140" i="4"/>
  <c r="N88" i="4"/>
  <c r="M97" i="4"/>
  <c r="N114" i="4"/>
  <c r="M123" i="4"/>
  <c r="M149" i="4"/>
  <c r="M70" i="4"/>
  <c r="M11" i="4"/>
  <c r="N28" i="4"/>
  <c r="N72" i="4"/>
  <c r="N98" i="4"/>
  <c r="M107" i="4"/>
  <c r="N124" i="4"/>
  <c r="N175" i="4"/>
  <c r="N262" i="5"/>
  <c r="O262" i="5" s="1"/>
  <c r="M262" i="5"/>
  <c r="N9" i="4"/>
  <c r="N79" i="4"/>
  <c r="N10" i="4"/>
  <c r="M180" i="4"/>
  <c r="M54" i="4"/>
  <c r="M29" i="4"/>
  <c r="M73" i="4"/>
  <c r="M99" i="4"/>
  <c r="M125" i="4"/>
  <c r="M185" i="4"/>
  <c r="M38" i="4"/>
  <c r="N47" i="4"/>
  <c r="M134" i="4"/>
  <c r="N143" i="4"/>
  <c r="L80" i="5"/>
  <c r="H25" i="7" l="1"/>
  <c r="G67" i="7"/>
  <c r="J67" i="7" s="1"/>
  <c r="H46" i="7"/>
  <c r="G111" i="7"/>
  <c r="J111" i="7" s="1"/>
  <c r="G83" i="7"/>
  <c r="J83" i="7" s="1"/>
  <c r="H57" i="7"/>
  <c r="G104" i="7"/>
  <c r="J104" i="7" s="1"/>
  <c r="K104" i="7" s="1"/>
  <c r="G33" i="7"/>
  <c r="J33" i="7" s="1"/>
  <c r="K33" i="7" s="1"/>
  <c r="H74" i="7"/>
  <c r="H115" i="7"/>
  <c r="G86" i="7"/>
  <c r="J86" i="7" s="1"/>
  <c r="K86" i="7" s="1"/>
  <c r="H39" i="7"/>
  <c r="G75" i="7"/>
  <c r="J75" i="7" s="1"/>
  <c r="K75" i="7" s="1"/>
  <c r="H32" i="7"/>
  <c r="H83" i="7"/>
  <c r="G101" i="7"/>
  <c r="J101" i="7" s="1"/>
  <c r="K101" i="7" s="1"/>
  <c r="H56" i="7"/>
  <c r="H49" i="7"/>
  <c r="H48" i="7"/>
  <c r="G56" i="7"/>
  <c r="J56" i="7" s="1"/>
  <c r="K56" i="7" s="1"/>
  <c r="H91" i="7"/>
  <c r="H118" i="7"/>
  <c r="H33" i="7"/>
  <c r="G48" i="7"/>
  <c r="J48" i="7" s="1"/>
  <c r="K48" i="7" s="1"/>
  <c r="H104" i="7"/>
  <c r="H97" i="7"/>
  <c r="G23" i="7"/>
  <c r="J23" i="7" s="1"/>
  <c r="K23" i="7" s="1"/>
  <c r="G92" i="7"/>
  <c r="J92" i="7" s="1"/>
  <c r="K92" i="7" s="1"/>
  <c r="H109" i="7"/>
  <c r="G41" i="7"/>
  <c r="J41" i="7" s="1"/>
  <c r="K41" i="7" s="1"/>
  <c r="H42" i="7"/>
  <c r="H51" i="7"/>
  <c r="G100" i="7"/>
  <c r="J100" i="7" s="1"/>
  <c r="K100" i="7" s="1"/>
  <c r="H41" i="7"/>
  <c r="G112" i="7"/>
  <c r="J112" i="7" s="1"/>
  <c r="K112" i="7" s="1"/>
  <c r="H27" i="7"/>
  <c r="G45" i="7"/>
  <c r="J45" i="7" s="1"/>
  <c r="K45" i="7" s="1"/>
  <c r="G32" i="7"/>
  <c r="J32" i="7" s="1"/>
  <c r="K32" i="7" s="1"/>
  <c r="H67" i="7"/>
  <c r="G34" i="7"/>
  <c r="J34" i="7" s="1"/>
  <c r="K34" i="7" s="1"/>
  <c r="G78" i="7"/>
  <c r="J78" i="7" s="1"/>
  <c r="K78" i="7" s="1"/>
  <c r="G47" i="7"/>
  <c r="J47" i="7" s="1"/>
  <c r="G49" i="7"/>
  <c r="J49" i="7" s="1"/>
  <c r="K49" i="7" s="1"/>
  <c r="H92" i="7"/>
  <c r="G117" i="7"/>
  <c r="J117" i="7" s="1"/>
  <c r="K117" i="7" s="1"/>
  <c r="G91" i="7"/>
  <c r="J91" i="7" s="1"/>
  <c r="K91" i="7" s="1"/>
  <c r="G97" i="7"/>
  <c r="J97" i="7" s="1"/>
  <c r="K97" i="7" s="1"/>
  <c r="G37" i="7"/>
  <c r="J37" i="7" s="1"/>
  <c r="K37" i="7" s="1"/>
  <c r="G40" i="7"/>
  <c r="J40" i="7" s="1"/>
  <c r="K40" i="7" s="1"/>
  <c r="H34" i="7"/>
  <c r="G50" i="7"/>
  <c r="J50" i="7" s="1"/>
  <c r="K50" i="7" s="1"/>
  <c r="H79" i="7"/>
  <c r="H43" i="7"/>
  <c r="H60" i="7"/>
  <c r="H111" i="7"/>
  <c r="H85" i="7"/>
  <c r="H82" i="7"/>
  <c r="H76" i="7"/>
  <c r="H101" i="7"/>
  <c r="G42" i="7"/>
  <c r="J42" i="7" s="1"/>
  <c r="K42" i="7" s="1"/>
  <c r="G60" i="7"/>
  <c r="J60" i="7" s="1"/>
  <c r="K60" i="7" s="1"/>
  <c r="H40" i="7"/>
  <c r="H64" i="7"/>
  <c r="H100" i="7"/>
  <c r="H53" i="7"/>
  <c r="H47" i="7"/>
  <c r="H23" i="7"/>
  <c r="G114" i="7"/>
  <c r="J114" i="7" s="1"/>
  <c r="K114" i="7" s="1"/>
  <c r="H29" i="7"/>
  <c r="H86" i="7"/>
  <c r="H99" i="7"/>
  <c r="H62" i="7"/>
  <c r="H114" i="7"/>
  <c r="G31" i="7"/>
  <c r="J31" i="7" s="1"/>
  <c r="K31" i="7" s="1"/>
  <c r="H31" i="7"/>
  <c r="H102" i="7"/>
  <c r="G29" i="7"/>
  <c r="J29" i="7" s="1"/>
  <c r="K29" i="7" s="1"/>
  <c r="G46" i="7"/>
  <c r="J46" i="7" s="1"/>
  <c r="K46" i="7" s="1"/>
  <c r="G35" i="7"/>
  <c r="J35" i="7" s="1"/>
  <c r="H52" i="7"/>
  <c r="H45" i="7"/>
  <c r="G102" i="7"/>
  <c r="J102" i="7" s="1"/>
  <c r="K102" i="7" s="1"/>
  <c r="G44" i="7"/>
  <c r="J44" i="7" s="1"/>
  <c r="K44" i="7" s="1"/>
  <c r="H98" i="7"/>
  <c r="G43" i="7"/>
  <c r="J43" i="7" s="1"/>
  <c r="H110" i="7"/>
  <c r="H106" i="7"/>
  <c r="H68" i="7"/>
  <c r="H112" i="7"/>
  <c r="G39" i="7"/>
  <c r="J39" i="7" s="1"/>
  <c r="G59" i="7"/>
  <c r="J59" i="7" s="1"/>
  <c r="H59" i="7"/>
  <c r="H44" i="7"/>
  <c r="G84" i="7"/>
  <c r="J84" i="7" s="1"/>
  <c r="K84" i="7" s="1"/>
  <c r="H50" i="7"/>
  <c r="H84" i="7"/>
  <c r="G26" i="7"/>
  <c r="J26" i="7" s="1"/>
  <c r="K26" i="7" s="1"/>
  <c r="G115" i="7"/>
  <c r="J115" i="7" s="1"/>
  <c r="K115" i="7" s="1"/>
  <c r="H35" i="7"/>
  <c r="H28" i="7"/>
  <c r="G53" i="7"/>
  <c r="J53" i="7" s="1"/>
  <c r="K53" i="7" s="1"/>
  <c r="G62" i="7"/>
  <c r="J62" i="7" s="1"/>
  <c r="K62" i="7" s="1"/>
  <c r="H90" i="7"/>
  <c r="H89" i="7"/>
  <c r="G118" i="7"/>
  <c r="J118" i="7" s="1"/>
  <c r="K118" i="7" s="1"/>
  <c r="H26" i="7"/>
  <c r="H93" i="7"/>
  <c r="H38" i="7"/>
  <c r="H81" i="7"/>
  <c r="H75" i="7"/>
  <c r="H70" i="7"/>
  <c r="H117" i="7"/>
  <c r="G61" i="7"/>
  <c r="J61" i="7" s="1"/>
  <c r="K61" i="7" s="1"/>
  <c r="G58" i="7"/>
  <c r="J58" i="7" s="1"/>
  <c r="K58" i="7" s="1"/>
  <c r="G55" i="7"/>
  <c r="J55" i="7" s="1"/>
  <c r="K55" i="7" s="1"/>
  <c r="G52" i="7"/>
  <c r="J52" i="7" s="1"/>
  <c r="K52" i="7" s="1"/>
  <c r="G108" i="7"/>
  <c r="J108" i="7" s="1"/>
  <c r="K108" i="7" s="1"/>
  <c r="H61" i="7"/>
  <c r="G28" i="7"/>
  <c r="J28" i="7" s="1"/>
  <c r="K28" i="7" s="1"/>
  <c r="G25" i="7"/>
  <c r="J25" i="7" s="1"/>
  <c r="K25" i="7" s="1"/>
  <c r="G95" i="7"/>
  <c r="J95" i="7" s="1"/>
  <c r="H96" i="7"/>
  <c r="G96" i="7"/>
  <c r="J96" i="7" s="1"/>
  <c r="K96" i="7" s="1"/>
  <c r="H108" i="7"/>
  <c r="H58" i="7"/>
  <c r="H95" i="7"/>
  <c r="G110" i="7"/>
  <c r="J110" i="7" s="1"/>
  <c r="K110" i="7" s="1"/>
  <c r="G88" i="7"/>
  <c r="J88" i="7" s="1"/>
  <c r="K88" i="7" s="1"/>
  <c r="G70" i="7"/>
  <c r="J70" i="7" s="1"/>
  <c r="K70" i="7" s="1"/>
  <c r="H55" i="7"/>
  <c r="H37" i="7"/>
  <c r="G107" i="7"/>
  <c r="J107" i="7" s="1"/>
  <c r="K107" i="7" s="1"/>
  <c r="G116" i="7"/>
  <c r="J116" i="7" s="1"/>
  <c r="K116" i="7" s="1"/>
  <c r="H69" i="7"/>
  <c r="H116" i="7"/>
  <c r="G80" i="7"/>
  <c r="J80" i="7" s="1"/>
  <c r="K80" i="7" s="1"/>
  <c r="G77" i="7"/>
  <c r="J77" i="7" s="1"/>
  <c r="K77" i="7" s="1"/>
  <c r="G90" i="7"/>
  <c r="J90" i="7" s="1"/>
  <c r="K90" i="7" s="1"/>
  <c r="H80" i="7"/>
  <c r="H77" i="7"/>
  <c r="G105" i="7"/>
  <c r="J105" i="7" s="1"/>
  <c r="K105" i="7" s="1"/>
  <c r="G66" i="7"/>
  <c r="J66" i="7" s="1"/>
  <c r="K66" i="7" s="1"/>
  <c r="G57" i="7"/>
  <c r="J57" i="7" s="1"/>
  <c r="K57" i="7" s="1"/>
  <c r="G54" i="7"/>
  <c r="J54" i="7" s="1"/>
  <c r="K54" i="7" s="1"/>
  <c r="G51" i="7"/>
  <c r="J51" i="7" s="1"/>
  <c r="K51" i="7" s="1"/>
  <c r="G24" i="7"/>
  <c r="J24" i="7" s="1"/>
  <c r="K24" i="7" s="1"/>
  <c r="G94" i="7"/>
  <c r="J94" i="7" s="1"/>
  <c r="K94" i="7" s="1"/>
  <c r="H105" i="7"/>
  <c r="G69" i="7"/>
  <c r="J69" i="7" s="1"/>
  <c r="K69" i="7" s="1"/>
  <c r="H113" i="7"/>
  <c r="H107" i="7"/>
  <c r="G87" i="7"/>
  <c r="J87" i="7" s="1"/>
  <c r="K87" i="7" s="1"/>
  <c r="H87" i="7"/>
  <c r="H54" i="7"/>
  <c r="H24" i="7"/>
  <c r="H94" i="7"/>
  <c r="G38" i="7"/>
  <c r="J38" i="7" s="1"/>
  <c r="K38" i="7" s="1"/>
  <c r="G103" i="7"/>
  <c r="J103" i="7" s="1"/>
  <c r="H103" i="7"/>
  <c r="G36" i="7"/>
  <c r="J36" i="7" s="1"/>
  <c r="K36" i="7" s="1"/>
  <c r="G30" i="7"/>
  <c r="J30" i="7" s="1"/>
  <c r="K30" i="7" s="1"/>
  <c r="G27" i="7"/>
  <c r="J27" i="7" s="1"/>
  <c r="K27" i="7" s="1"/>
  <c r="G99" i="7"/>
  <c r="J99" i="7" s="1"/>
  <c r="K99" i="7" s="1"/>
  <c r="G68" i="7"/>
  <c r="J68" i="7" s="1"/>
  <c r="K68" i="7" s="1"/>
  <c r="G98" i="7"/>
  <c r="J98" i="7" s="1"/>
  <c r="K98" i="7" s="1"/>
  <c r="G113" i="7"/>
  <c r="J113" i="7" s="1"/>
  <c r="K113" i="7" s="1"/>
  <c r="H36" i="7"/>
  <c r="G81" i="7"/>
  <c r="J81" i="7" s="1"/>
  <c r="K81" i="7" s="1"/>
  <c r="H88" i="7"/>
  <c r="H78" i="7"/>
  <c r="H30" i="7"/>
  <c r="G109" i="7"/>
  <c r="J109" i="7" s="1"/>
  <c r="K109" i="7" s="1"/>
  <c r="G106" i="7"/>
  <c r="J106" i="7" s="1"/>
  <c r="K106" i="7" s="1"/>
  <c r="G89" i="7"/>
  <c r="J89" i="7" s="1"/>
  <c r="K89" i="7" s="1"/>
  <c r="G85" i="7"/>
  <c r="J85" i="7" s="1"/>
  <c r="K85" i="7" s="1"/>
  <c r="G82" i="7"/>
  <c r="J82" i="7" s="1"/>
  <c r="K82" i="7" s="1"/>
  <c r="G79" i="7"/>
  <c r="J79" i="7" s="1"/>
  <c r="G76" i="7"/>
  <c r="J76" i="7" s="1"/>
  <c r="K76" i="7" s="1"/>
  <c r="G93" i="7"/>
  <c r="J93" i="7" s="1"/>
  <c r="K93" i="7" s="1"/>
  <c r="B25" i="2"/>
  <c r="D25" i="2" s="1"/>
  <c r="H72" i="7"/>
  <c r="G71" i="7"/>
  <c r="J71" i="7" s="1"/>
  <c r="K71" i="7" s="1"/>
  <c r="H71" i="7"/>
  <c r="G72" i="7"/>
  <c r="J72" i="7" s="1"/>
  <c r="K72" i="7" s="1"/>
  <c r="G74" i="7"/>
  <c r="J74" i="7" s="1"/>
  <c r="K74" i="7" s="1"/>
  <c r="O83" i="5"/>
  <c r="O14" i="5"/>
  <c r="H73" i="7"/>
  <c r="G73" i="7"/>
  <c r="J73" i="7" s="1"/>
  <c r="K73" i="7" s="1"/>
  <c r="K47" i="7"/>
  <c r="H66" i="7"/>
  <c r="K43" i="7"/>
  <c r="K111" i="7"/>
  <c r="H63" i="7"/>
  <c r="G63" i="7"/>
  <c r="J63" i="7" s="1"/>
  <c r="M80" i="5"/>
  <c r="N80" i="5" s="1"/>
  <c r="H65" i="7"/>
  <c r="G65" i="7"/>
  <c r="J65" i="7" s="1"/>
  <c r="K65" i="7" s="1"/>
  <c r="M81" i="5"/>
  <c r="N81" i="5" s="1"/>
  <c r="O81" i="5" s="1"/>
  <c r="K67" i="7"/>
  <c r="K83" i="7"/>
  <c r="G64" i="7"/>
  <c r="J64" i="7" s="1"/>
  <c r="K64" i="7" s="1"/>
  <c r="F8" i="7" l="1"/>
  <c r="H152" i="4" s="1"/>
  <c r="F713" i="5" s="1"/>
  <c r="G17" i="7"/>
  <c r="D9" i="7"/>
  <c r="G158" i="4" s="1"/>
  <c r="F735" i="5" s="1"/>
  <c r="D7" i="7"/>
  <c r="G156" i="4" s="1"/>
  <c r="G729" i="5" s="1"/>
  <c r="C7" i="7"/>
  <c r="G151" i="4" s="1"/>
  <c r="G708" i="5" s="1"/>
  <c r="C9" i="7"/>
  <c r="G153" i="4" s="1"/>
  <c r="G717" i="5" s="1"/>
  <c r="D15" i="7"/>
  <c r="G171" i="4" s="1"/>
  <c r="F796" i="5" s="1"/>
  <c r="E17" i="7"/>
  <c r="H169" i="4" s="1"/>
  <c r="G782" i="5" s="1"/>
  <c r="C8" i="7"/>
  <c r="G152" i="4" s="1"/>
  <c r="F710" i="5" s="1"/>
  <c r="E10" i="7"/>
  <c r="I159" i="4" s="1"/>
  <c r="G13" i="7"/>
  <c r="D16" i="7"/>
  <c r="G172" i="4" s="1"/>
  <c r="F800" i="5" s="1"/>
  <c r="G8" i="7"/>
  <c r="G12" i="7"/>
  <c r="E7" i="7"/>
  <c r="H156" i="4" s="1"/>
  <c r="F728" i="5" s="1"/>
  <c r="F10" i="7"/>
  <c r="H154" i="4" s="1"/>
  <c r="K59" i="7"/>
  <c r="D8" i="7"/>
  <c r="G157" i="4" s="1"/>
  <c r="F731" i="5" s="1"/>
  <c r="K39" i="7"/>
  <c r="G16" i="7"/>
  <c r="G15" i="7"/>
  <c r="D14" i="7"/>
  <c r="G170" i="4" s="1"/>
  <c r="F793" i="5" s="1"/>
  <c r="F9" i="7"/>
  <c r="I153" i="4" s="1"/>
  <c r="E9" i="7"/>
  <c r="H158" i="4" s="1"/>
  <c r="F736" i="5" s="1"/>
  <c r="C17" i="7"/>
  <c r="G173" i="4" s="1"/>
  <c r="F808" i="5" s="1"/>
  <c r="K95" i="7"/>
  <c r="C15" i="7"/>
  <c r="G167" i="4" s="1"/>
  <c r="G773" i="5" s="1"/>
  <c r="D10" i="7"/>
  <c r="G159" i="4" s="1"/>
  <c r="G740" i="5" s="1"/>
  <c r="K103" i="7"/>
  <c r="K35" i="7"/>
  <c r="E8" i="7"/>
  <c r="H157" i="4" s="1"/>
  <c r="F733" i="5" s="1"/>
  <c r="G6" i="7"/>
  <c r="G7" i="7"/>
  <c r="D17" i="7"/>
  <c r="G169" i="4" s="1"/>
  <c r="G789" i="5" s="1"/>
  <c r="C16" i="7"/>
  <c r="G168" i="4" s="1"/>
  <c r="G776" i="5" s="1"/>
  <c r="G9" i="7"/>
  <c r="G10" i="7"/>
  <c r="C14" i="7"/>
  <c r="G166" i="4" s="1"/>
  <c r="F767" i="5" s="1"/>
  <c r="D13" i="7"/>
  <c r="G165" i="4" s="1"/>
  <c r="F763" i="5" s="1"/>
  <c r="G14" i="7"/>
  <c r="E12" i="7"/>
  <c r="F14" i="7"/>
  <c r="C6" i="7"/>
  <c r="G150" i="4" s="1"/>
  <c r="F702" i="5" s="1"/>
  <c r="E6" i="7"/>
  <c r="F6" i="7"/>
  <c r="E14" i="7"/>
  <c r="H159" i="4"/>
  <c r="G738" i="5" s="1"/>
  <c r="C13" i="7"/>
  <c r="G162" i="4" s="1"/>
  <c r="G753" i="5" s="1"/>
  <c r="F12" i="7"/>
  <c r="K79" i="7"/>
  <c r="F16" i="7"/>
  <c r="D6" i="7"/>
  <c r="G155" i="4" s="1"/>
  <c r="F723" i="5" s="1"/>
  <c r="F15" i="7"/>
  <c r="E15" i="7"/>
  <c r="F17" i="7"/>
  <c r="E13" i="7"/>
  <c r="F13" i="7"/>
  <c r="C10" i="7"/>
  <c r="G154" i="4" s="1"/>
  <c r="G720" i="5" s="1"/>
  <c r="E11" i="7"/>
  <c r="E16" i="7"/>
  <c r="F7" i="7"/>
  <c r="F11" i="7"/>
  <c r="D12" i="7"/>
  <c r="G164" i="4" s="1"/>
  <c r="F758" i="5" s="1"/>
  <c r="O80" i="5"/>
  <c r="B26" i="2"/>
  <c r="D26" i="2" s="1"/>
  <c r="B9" i="2"/>
  <c r="D11" i="7"/>
  <c r="G163" i="4" s="1"/>
  <c r="C11" i="7"/>
  <c r="G160" i="4" s="1"/>
  <c r="K63" i="7"/>
  <c r="G11" i="7"/>
  <c r="F797" i="5"/>
  <c r="C12" i="7"/>
  <c r="G161" i="4" s="1"/>
  <c r="G716" i="5"/>
  <c r="F715" i="5"/>
  <c r="F714" i="5"/>
  <c r="G712" i="5"/>
  <c r="F711" i="5"/>
  <c r="I169" i="4" l="1"/>
  <c r="F706" i="5"/>
  <c r="F707" i="5"/>
  <c r="G709" i="5"/>
  <c r="F774" i="5"/>
  <c r="G732" i="5"/>
  <c r="I152" i="4"/>
  <c r="J152" i="4" s="1"/>
  <c r="G765" i="5"/>
  <c r="F804" i="5"/>
  <c r="G733" i="5"/>
  <c r="G812" i="5"/>
  <c r="F805" i="5"/>
  <c r="G794" i="5"/>
  <c r="F730" i="5"/>
  <c r="H153" i="4"/>
  <c r="G714" i="5" s="1"/>
  <c r="F740" i="5"/>
  <c r="F720" i="5"/>
  <c r="G719" i="5"/>
  <c r="G718" i="5"/>
  <c r="F721" i="5"/>
  <c r="F727" i="5"/>
  <c r="I156" i="4"/>
  <c r="J156" i="4" s="1"/>
  <c r="F726" i="5"/>
  <c r="G737" i="5"/>
  <c r="F734" i="5"/>
  <c r="G728" i="5"/>
  <c r="G736" i="5"/>
  <c r="I154" i="4"/>
  <c r="J154" i="4" s="1"/>
  <c r="G178" i="4" s="1"/>
  <c r="F771" i="5"/>
  <c r="G721" i="5"/>
  <c r="F718" i="5"/>
  <c r="F719" i="5"/>
  <c r="G704" i="5"/>
  <c r="F703" i="5"/>
  <c r="G713" i="5"/>
  <c r="F806" i="5"/>
  <c r="G705" i="5"/>
  <c r="F716" i="5"/>
  <c r="G798" i="5"/>
  <c r="G795" i="5"/>
  <c r="F738" i="5"/>
  <c r="G799" i="5"/>
  <c r="F717" i="5"/>
  <c r="F809" i="5"/>
  <c r="F739" i="5"/>
  <c r="G741" i="5"/>
  <c r="G772" i="5"/>
  <c r="F770" i="5"/>
  <c r="G777" i="5"/>
  <c r="F779" i="5"/>
  <c r="J159" i="4"/>
  <c r="M159" i="4" s="1"/>
  <c r="G787" i="5"/>
  <c r="F750" i="5"/>
  <c r="F784" i="5"/>
  <c r="G710" i="5"/>
  <c r="I157" i="4"/>
  <c r="G761" i="5"/>
  <c r="G711" i="5"/>
  <c r="I158" i="4"/>
  <c r="J158" i="4" s="1"/>
  <c r="N158" i="4" s="1"/>
  <c r="F810" i="5"/>
  <c r="F759" i="5"/>
  <c r="F712" i="5"/>
  <c r="G802" i="5"/>
  <c r="F775" i="5"/>
  <c r="G815" i="5"/>
  <c r="G760" i="5"/>
  <c r="G817" i="5"/>
  <c r="G803" i="5"/>
  <c r="J169" i="4"/>
  <c r="N169" i="4" s="1"/>
  <c r="F783" i="5"/>
  <c r="G790" i="5"/>
  <c r="F741" i="5"/>
  <c r="F792" i="5"/>
  <c r="F801" i="5"/>
  <c r="G739" i="5"/>
  <c r="G768" i="5"/>
  <c r="G783" i="5"/>
  <c r="F790" i="5"/>
  <c r="F791" i="5"/>
  <c r="G816" i="5"/>
  <c r="G788" i="5"/>
  <c r="G781" i="5"/>
  <c r="G734" i="5"/>
  <c r="G813" i="5"/>
  <c r="F780" i="5"/>
  <c r="F788" i="5"/>
  <c r="G735" i="5"/>
  <c r="G779" i="5"/>
  <c r="F789" i="5"/>
  <c r="G769" i="5"/>
  <c r="F766" i="5"/>
  <c r="F737" i="5"/>
  <c r="G791" i="5"/>
  <c r="G778" i="5"/>
  <c r="G784" i="5"/>
  <c r="F807" i="5"/>
  <c r="F781" i="5"/>
  <c r="G814" i="5"/>
  <c r="G730" i="5"/>
  <c r="G764" i="5"/>
  <c r="G811" i="5"/>
  <c r="G786" i="5"/>
  <c r="F787" i="5"/>
  <c r="F778" i="5"/>
  <c r="G785" i="5"/>
  <c r="F732" i="5"/>
  <c r="F762" i="5"/>
  <c r="F782" i="5"/>
  <c r="G731" i="5"/>
  <c r="G725" i="5"/>
  <c r="H173" i="4"/>
  <c r="I173" i="4"/>
  <c r="H171" i="4"/>
  <c r="I171" i="4"/>
  <c r="G724" i="5"/>
  <c r="F751" i="5"/>
  <c r="H160" i="4"/>
  <c r="I160" i="4"/>
  <c r="F722" i="5"/>
  <c r="G752" i="5"/>
  <c r="H151" i="4"/>
  <c r="I151" i="4"/>
  <c r="H170" i="4"/>
  <c r="I170" i="4"/>
  <c r="H167" i="4"/>
  <c r="I167" i="4"/>
  <c r="H172" i="4"/>
  <c r="I172" i="4"/>
  <c r="J172" i="4" s="1"/>
  <c r="G176" i="4"/>
  <c r="M152" i="4"/>
  <c r="N152" i="4"/>
  <c r="H150" i="4"/>
  <c r="H155" i="4"/>
  <c r="I155" i="4"/>
  <c r="H168" i="4"/>
  <c r="I168" i="4"/>
  <c r="H161" i="4"/>
  <c r="I161" i="4"/>
  <c r="H163" i="4"/>
  <c r="I163" i="4"/>
  <c r="F729" i="5"/>
  <c r="G780" i="5"/>
  <c r="G726" i="5"/>
  <c r="H162" i="4"/>
  <c r="I162" i="4"/>
  <c r="H166" i="4"/>
  <c r="I166" i="4"/>
  <c r="F785" i="5"/>
  <c r="G727" i="5"/>
  <c r="H165" i="4"/>
  <c r="I165" i="4"/>
  <c r="J157" i="4"/>
  <c r="F786" i="5"/>
  <c r="H164" i="4"/>
  <c r="I164" i="4"/>
  <c r="G757" i="5"/>
  <c r="F755" i="5"/>
  <c r="F754" i="5"/>
  <c r="G756" i="5"/>
  <c r="F746" i="5"/>
  <c r="G748" i="5"/>
  <c r="G749" i="5"/>
  <c r="F747" i="5"/>
  <c r="F743" i="5"/>
  <c r="F742" i="5"/>
  <c r="G745" i="5"/>
  <c r="G744" i="5"/>
  <c r="G715" i="5" l="1"/>
  <c r="J165" i="4"/>
  <c r="J153" i="4"/>
  <c r="H178" i="4"/>
  <c r="G835" i="5" s="1"/>
  <c r="N159" i="4"/>
  <c r="J163" i="4"/>
  <c r="M163" i="4" s="1"/>
  <c r="J166" i="4"/>
  <c r="H177" i="4"/>
  <c r="G830" i="5" s="1"/>
  <c r="J173" i="4"/>
  <c r="N173" i="4" s="1"/>
  <c r="H185" i="4"/>
  <c r="G867" i="5" s="1"/>
  <c r="J161" i="4"/>
  <c r="N161" i="4" s="1"/>
  <c r="J171" i="4"/>
  <c r="M171" i="4" s="1"/>
  <c r="M169" i="4"/>
  <c r="J151" i="4"/>
  <c r="G175" i="4" s="1"/>
  <c r="J168" i="4"/>
  <c r="G184" i="4" s="1"/>
  <c r="M158" i="4"/>
  <c r="M154" i="4"/>
  <c r="N154" i="4"/>
  <c r="J162" i="4"/>
  <c r="G181" i="4" s="1"/>
  <c r="J164" i="4"/>
  <c r="H180" i="4" s="1"/>
  <c r="J155" i="4"/>
  <c r="H174" i="4" s="1"/>
  <c r="J160" i="4"/>
  <c r="N160" i="4" s="1"/>
  <c r="H175" i="4"/>
  <c r="M156" i="4"/>
  <c r="N156" i="4"/>
  <c r="F837" i="5"/>
  <c r="F836" i="5"/>
  <c r="G759" i="5"/>
  <c r="G758" i="5"/>
  <c r="F761" i="5"/>
  <c r="F760" i="5"/>
  <c r="G722" i="5"/>
  <c r="G723" i="5"/>
  <c r="F725" i="5"/>
  <c r="F724" i="5"/>
  <c r="F745" i="5"/>
  <c r="G742" i="5"/>
  <c r="F744" i="5"/>
  <c r="G743" i="5"/>
  <c r="F749" i="5"/>
  <c r="F748" i="5"/>
  <c r="G746" i="5"/>
  <c r="G747" i="5"/>
  <c r="G707" i="5"/>
  <c r="F709" i="5"/>
  <c r="G706" i="5"/>
  <c r="F708" i="5"/>
  <c r="F776" i="5"/>
  <c r="F777" i="5"/>
  <c r="G775" i="5"/>
  <c r="G774" i="5"/>
  <c r="J150" i="4"/>
  <c r="C16" i="2"/>
  <c r="C18" i="2"/>
  <c r="C17" i="2"/>
  <c r="B17" i="2"/>
  <c r="C15" i="2"/>
  <c r="C14" i="2"/>
  <c r="B19" i="2"/>
  <c r="B14" i="2"/>
  <c r="B18" i="2"/>
  <c r="B15" i="2"/>
  <c r="B13" i="2"/>
  <c r="B20" i="2"/>
  <c r="B16" i="2"/>
  <c r="D16" i="2" s="1"/>
  <c r="E16" i="2" s="1"/>
  <c r="G754" i="5"/>
  <c r="F757" i="5"/>
  <c r="G755" i="5"/>
  <c r="F756" i="5"/>
  <c r="G702" i="5"/>
  <c r="F705" i="5"/>
  <c r="F704" i="5"/>
  <c r="G703" i="5"/>
  <c r="F835" i="5"/>
  <c r="G837" i="5"/>
  <c r="F834" i="5"/>
  <c r="G836" i="5"/>
  <c r="H176" i="4"/>
  <c r="M157" i="4"/>
  <c r="N157" i="4"/>
  <c r="H179" i="4"/>
  <c r="G180" i="4"/>
  <c r="M161" i="4"/>
  <c r="H181" i="4"/>
  <c r="M165" i="4"/>
  <c r="N165" i="4"/>
  <c r="G762" i="5"/>
  <c r="F765" i="5"/>
  <c r="F764" i="5"/>
  <c r="G763" i="5"/>
  <c r="F826" i="5"/>
  <c r="G829" i="5"/>
  <c r="G828" i="5"/>
  <c r="F827" i="5"/>
  <c r="F798" i="5"/>
  <c r="G797" i="5"/>
  <c r="G796" i="5"/>
  <c r="F799" i="5"/>
  <c r="H184" i="4"/>
  <c r="N172" i="4"/>
  <c r="M172" i="4"/>
  <c r="G182" i="4"/>
  <c r="N166" i="4"/>
  <c r="M166" i="4"/>
  <c r="G800" i="5"/>
  <c r="G801" i="5"/>
  <c r="F803" i="5"/>
  <c r="F802" i="5"/>
  <c r="F811" i="5"/>
  <c r="F812" i="5"/>
  <c r="G805" i="5"/>
  <c r="F815" i="5"/>
  <c r="G808" i="5"/>
  <c r="F814" i="5"/>
  <c r="G807" i="5"/>
  <c r="G806" i="5"/>
  <c r="F813" i="5"/>
  <c r="G810" i="5"/>
  <c r="G809" i="5"/>
  <c r="F817" i="5"/>
  <c r="F816" i="5"/>
  <c r="G804" i="5"/>
  <c r="G766" i="5"/>
  <c r="F768" i="5"/>
  <c r="G767" i="5"/>
  <c r="F769" i="5"/>
  <c r="J167" i="4"/>
  <c r="F773" i="5"/>
  <c r="F772" i="5"/>
  <c r="G771" i="5"/>
  <c r="G770" i="5"/>
  <c r="F752" i="5"/>
  <c r="G751" i="5"/>
  <c r="G750" i="5"/>
  <c r="F753" i="5"/>
  <c r="J170" i="4"/>
  <c r="G793" i="5"/>
  <c r="F795" i="5"/>
  <c r="F794" i="5"/>
  <c r="G792" i="5"/>
  <c r="M173" i="4" l="1"/>
  <c r="D15" i="2"/>
  <c r="E15" i="2" s="1"/>
  <c r="N163" i="4"/>
  <c r="F833" i="5"/>
  <c r="G831" i="5"/>
  <c r="F832" i="5"/>
  <c r="G834" i="5"/>
  <c r="M153" i="4"/>
  <c r="G177" i="4"/>
  <c r="N153" i="4"/>
  <c r="N151" i="4"/>
  <c r="M151" i="4"/>
  <c r="N171" i="4"/>
  <c r="N168" i="4"/>
  <c r="H183" i="4"/>
  <c r="G855" i="5" s="1"/>
  <c r="M164" i="4"/>
  <c r="N164" i="4"/>
  <c r="G185" i="4"/>
  <c r="F862" i="5" s="1"/>
  <c r="M168" i="4"/>
  <c r="F871" i="5"/>
  <c r="G866" i="5"/>
  <c r="G864" i="5"/>
  <c r="F870" i="5"/>
  <c r="F872" i="5"/>
  <c r="F869" i="5"/>
  <c r="F874" i="5"/>
  <c r="F875" i="5"/>
  <c r="G868" i="5"/>
  <c r="G863" i="5"/>
  <c r="F873" i="5"/>
  <c r="G865" i="5"/>
  <c r="G862" i="5"/>
  <c r="D14" i="2"/>
  <c r="E14" i="2" s="1"/>
  <c r="M162" i="4"/>
  <c r="N162" i="4"/>
  <c r="N155" i="4"/>
  <c r="M155" i="4"/>
  <c r="D18" i="2"/>
  <c r="E18" i="2" s="1"/>
  <c r="M160" i="4"/>
  <c r="G179" i="4"/>
  <c r="G183" i="4"/>
  <c r="M167" i="4"/>
  <c r="N167" i="4"/>
  <c r="F845" i="5"/>
  <c r="F844" i="5"/>
  <c r="G843" i="5"/>
  <c r="G842" i="5"/>
  <c r="G839" i="5"/>
  <c r="F841" i="5"/>
  <c r="F840" i="5"/>
  <c r="G838" i="5"/>
  <c r="F860" i="5"/>
  <c r="G859" i="5"/>
  <c r="F861" i="5"/>
  <c r="G858" i="5"/>
  <c r="D17" i="2"/>
  <c r="E17" i="2" s="1"/>
  <c r="F850" i="5"/>
  <c r="G853" i="5"/>
  <c r="F851" i="5"/>
  <c r="G852" i="5"/>
  <c r="F848" i="5"/>
  <c r="G847" i="5"/>
  <c r="F849" i="5"/>
  <c r="G846" i="5"/>
  <c r="G819" i="5"/>
  <c r="F820" i="5"/>
  <c r="F821" i="5"/>
  <c r="G818" i="5"/>
  <c r="F843" i="5"/>
  <c r="G845" i="5"/>
  <c r="F842" i="5"/>
  <c r="G844" i="5"/>
  <c r="C19" i="2"/>
  <c r="D19" i="2" s="1"/>
  <c r="E19" i="2" s="1"/>
  <c r="F829" i="5"/>
  <c r="F828" i="5"/>
  <c r="G827" i="5"/>
  <c r="G826" i="5"/>
  <c r="F859" i="5"/>
  <c r="G861" i="5"/>
  <c r="G860" i="5"/>
  <c r="F858" i="5"/>
  <c r="N170" i="4"/>
  <c r="H182" i="4"/>
  <c r="M170" i="4"/>
  <c r="G848" i="5"/>
  <c r="F847" i="5"/>
  <c r="F846" i="5"/>
  <c r="G849" i="5"/>
  <c r="G824" i="5"/>
  <c r="F822" i="5"/>
  <c r="G825" i="5"/>
  <c r="F823" i="5"/>
  <c r="G174" i="4"/>
  <c r="J174" i="4" s="1"/>
  <c r="N150" i="4"/>
  <c r="M150" i="4"/>
  <c r="G822" i="5"/>
  <c r="F825" i="5"/>
  <c r="G823" i="5"/>
  <c r="F824" i="5"/>
  <c r="F863" i="5" l="1"/>
  <c r="F866" i="5"/>
  <c r="G870" i="5"/>
  <c r="G874" i="5"/>
  <c r="F838" i="5"/>
  <c r="J179" i="4"/>
  <c r="G869" i="5"/>
  <c r="G875" i="5"/>
  <c r="F867" i="5"/>
  <c r="F864" i="5"/>
  <c r="G871" i="5"/>
  <c r="F865" i="5"/>
  <c r="F856" i="5"/>
  <c r="M174" i="4"/>
  <c r="N174" i="4"/>
  <c r="F868" i="5"/>
  <c r="G833" i="5"/>
  <c r="F831" i="5"/>
  <c r="F830" i="5"/>
  <c r="G832" i="5"/>
  <c r="G873" i="5"/>
  <c r="C13" i="2"/>
  <c r="D13" i="2" s="1"/>
  <c r="E13" i="2" s="1"/>
  <c r="G872" i="5"/>
  <c r="G854" i="5"/>
  <c r="F857" i="5"/>
  <c r="F839" i="5"/>
  <c r="G840" i="5"/>
  <c r="G841" i="5"/>
  <c r="I15" i="2"/>
  <c r="G850" i="5"/>
  <c r="F853" i="5"/>
  <c r="F852" i="5"/>
  <c r="G851" i="5"/>
  <c r="F819" i="5"/>
  <c r="G820" i="5"/>
  <c r="F818" i="5"/>
  <c r="G821" i="5"/>
  <c r="I14" i="2"/>
  <c r="I17" i="2"/>
  <c r="B27" i="2"/>
  <c r="D27" i="2" s="1"/>
  <c r="I13" i="2"/>
  <c r="I18" i="2"/>
  <c r="I16" i="2"/>
  <c r="G856" i="5"/>
  <c r="F854" i="5"/>
  <c r="F855" i="5"/>
  <c r="G857" i="5"/>
  <c r="M179" i="4" l="1"/>
  <c r="N179" i="4"/>
  <c r="C20" i="2"/>
  <c r="D20" i="2" s="1"/>
  <c r="E20" i="2" s="1"/>
  <c r="B24" i="2"/>
  <c r="D24" i="2" s="1"/>
  <c r="F14" i="2"/>
  <c r="J14" i="2" s="1"/>
  <c r="F15" i="2"/>
  <c r="F13" i="2"/>
  <c r="F20" i="2"/>
  <c r="F19" i="2"/>
  <c r="F18" i="2"/>
  <c r="F16" i="2"/>
  <c r="F17" i="2"/>
  <c r="I20" i="2" l="1"/>
  <c r="I19" i="2"/>
  <c r="B6" i="2"/>
  <c r="J18" i="2"/>
  <c r="G18" i="2"/>
  <c r="H18" i="2" s="1"/>
  <c r="G16" i="2"/>
  <c r="H16" i="2" s="1"/>
  <c r="J16" i="2"/>
  <c r="J19" i="2"/>
  <c r="G19" i="2"/>
  <c r="H19" i="2" s="1"/>
  <c r="G14" i="2"/>
  <c r="H14" i="2" s="1"/>
  <c r="G17" i="2"/>
  <c r="H17" i="2" s="1"/>
  <c r="J17" i="2"/>
  <c r="J20" i="2"/>
  <c r="G20" i="2"/>
  <c r="H20" i="2" s="1"/>
  <c r="G13" i="2"/>
  <c r="H13" i="2" s="1"/>
  <c r="J13" i="2"/>
  <c r="G15" i="2"/>
  <c r="H15" i="2" s="1"/>
  <c r="J15" i="2"/>
</calcChain>
</file>

<file path=xl/sharedStrings.xml><?xml version="1.0" encoding="utf-8"?>
<sst xmlns="http://schemas.openxmlformats.org/spreadsheetml/2006/main" count="7676" uniqueCount="570">
  <si>
    <t>BROTHERHOOD YOUTH SPORTS FEST - CONTROL WORKBOOK</t>
  </si>
  <si>
    <t>Purpose: Track player eligibility, detect league-rule breaches, record winners and calculate team points.</t>
  </si>
  <si>
    <t>STEP</t>
  </si>
  <si>
    <t>WHAT TO DO</t>
  </si>
  <si>
    <t>1</t>
  </si>
  <si>
    <t>Enter every player's name in Team Rosters. Use the assigned Player Code when recording appearances.</t>
  </si>
  <si>
    <t>2</t>
  </si>
  <si>
    <t>3</t>
  </si>
  <si>
    <t>4</t>
  </si>
  <si>
    <t>In Player Usage, enter all 4 Player Codes for each doubles match: two players from each team.</t>
  </si>
  <si>
    <t>5</t>
  </si>
  <si>
    <t>Check Rule Status. A player's third league match against the same opposing team is flagged VIOLATION.</t>
  </si>
  <si>
    <t>6</t>
  </si>
  <si>
    <t>Use Dashboard for team points, breach counts and potential -20 penalties.</t>
  </si>
  <si>
    <t>IMPORTANT RULE INTERPRETATION</t>
  </si>
  <si>
    <t>Rule applied</t>
  </si>
  <si>
    <t>One player may play against the same opposing team in no more than 2 league matches, counted across all sports.</t>
  </si>
  <si>
    <t>Audit detail</t>
  </si>
  <si>
    <t>Sport and category remain visible for each appearance so the exact matches can be checked.</t>
  </si>
  <si>
    <t>Win points</t>
  </si>
  <si>
    <t>10 points are awarded to the winning team for every completed match.</t>
  </si>
  <si>
    <t>Penalty view</t>
  </si>
  <si>
    <t>Dashboard shows a potential deduction of 20 points per flagged violating appearance, in line with the supplied rules.</t>
  </si>
  <si>
    <t>TOURNAMENT DASHBOARD</t>
  </si>
  <si>
    <t>LIVE CONTROL SUMMARY</t>
  </si>
  <si>
    <t>Metric</t>
  </si>
  <si>
    <t>Value</t>
  </si>
  <si>
    <t>Matches completed</t>
  </si>
  <si>
    <t>Total matches</t>
  </si>
  <si>
    <t>Player entries recorded</t>
  </si>
  <si>
    <t>Rule violations</t>
  </si>
  <si>
    <t>TEAM STANDINGS</t>
  </si>
  <si>
    <t>Team</t>
  </si>
  <si>
    <t>League Wins</t>
  </si>
  <si>
    <t>Knockout Wins</t>
  </si>
  <si>
    <t>Total Wins</t>
  </si>
  <si>
    <t>Gross Points</t>
  </si>
  <si>
    <t>Rule Breaches</t>
  </si>
  <si>
    <t>Potential Penalty</t>
  </si>
  <si>
    <t>Net Points</t>
  </si>
  <si>
    <t>Matches Played</t>
  </si>
  <si>
    <t>Status</t>
  </si>
  <si>
    <t>A1</t>
  </si>
  <si>
    <t>A2</t>
  </si>
  <si>
    <t>A3</t>
  </si>
  <si>
    <t>A4</t>
  </si>
  <si>
    <t>B1</t>
  </si>
  <si>
    <t>B2</t>
  </si>
  <si>
    <t>B3</t>
  </si>
  <si>
    <t>B4</t>
  </si>
  <si>
    <t>CONTROL CHECKS</t>
  </si>
  <si>
    <t>Check</t>
  </si>
  <si>
    <t>Count</t>
  </si>
  <si>
    <t>Expected</t>
  </si>
  <si>
    <t>Invalid winners</t>
  </si>
  <si>
    <t>Roster mismatches</t>
  </si>
  <si>
    <t>League rule violations</t>
  </si>
  <si>
    <t>TEAM ROSTERS</t>
  </si>
  <si>
    <t>Fill Player Name and Gender. Player Codes are already assigned and must not be changed.</t>
  </si>
  <si>
    <t>Player Code</t>
  </si>
  <si>
    <t>Player Name (INPUT)</t>
  </si>
  <si>
    <t>Gender (INPUT)</t>
  </si>
  <si>
    <t>Notes</t>
  </si>
  <si>
    <t>A1-P01</t>
  </si>
  <si>
    <t>SHREYANK JAIN</t>
  </si>
  <si>
    <t>Male</t>
  </si>
  <si>
    <t>Captain</t>
  </si>
  <si>
    <t>A1-P02</t>
  </si>
  <si>
    <t>VANSH RAJESH GARG</t>
  </si>
  <si>
    <t>A1-P03</t>
  </si>
  <si>
    <t>DEVANSH M AGARWAL</t>
  </si>
  <si>
    <t>A1-P04</t>
  </si>
  <si>
    <t>AKSHIT GUPTA</t>
  </si>
  <si>
    <t>A1-P05</t>
  </si>
  <si>
    <t>KETAN AGARWAL</t>
  </si>
  <si>
    <t>A1-P06</t>
  </si>
  <si>
    <t>MEDHANSH AGARWAL</t>
  </si>
  <si>
    <t>A1-P07</t>
  </si>
  <si>
    <t>ABHAY GARG</t>
  </si>
  <si>
    <t>A1-P08</t>
  </si>
  <si>
    <t>ISHAAN GARG</t>
  </si>
  <si>
    <t>A1-P09</t>
  </si>
  <si>
    <t>ARMAAN AGARWAL</t>
  </si>
  <si>
    <t>A1-P10</t>
  </si>
  <si>
    <t>ABHIJEET GOYAL</t>
  </si>
  <si>
    <t>A1-P11</t>
  </si>
  <si>
    <t>YOGESH AGARWAL</t>
  </si>
  <si>
    <t>A1-P12</t>
  </si>
  <si>
    <t>AKSHAY AGARWAL</t>
  </si>
  <si>
    <t>A1-P13</t>
  </si>
  <si>
    <t>SHUBHAM AGARWAL</t>
  </si>
  <si>
    <t>A1-P14</t>
  </si>
  <si>
    <t>GAURAV AGARWAL</t>
  </si>
  <si>
    <t>A1-P15</t>
  </si>
  <si>
    <t>MURARI AGARWAL</t>
  </si>
  <si>
    <t>A1-P16</t>
  </si>
  <si>
    <t>BHAGYASHREE AGARWAL</t>
  </si>
  <si>
    <t>Female</t>
  </si>
  <si>
    <t>Vice Captain</t>
  </si>
  <si>
    <t>A1-P17</t>
  </si>
  <si>
    <t>PRIYANKA MAHIPAL</t>
  </si>
  <si>
    <t>A1-P18</t>
  </si>
  <si>
    <t>RASHI AGARWAL</t>
  </si>
  <si>
    <t>A1-P19</t>
  </si>
  <si>
    <t>RITU GOYAL</t>
  </si>
  <si>
    <t>A1-P20</t>
  </si>
  <si>
    <t>SIDDHI AGARWAL</t>
  </si>
  <si>
    <t>A1-P21</t>
  </si>
  <si>
    <t>ASHITA ANKUSH AGARWAL</t>
  </si>
  <si>
    <t>A1-P22</t>
  </si>
  <si>
    <t>DIVYA MITTAL</t>
  </si>
  <si>
    <t>A1-P23</t>
  </si>
  <si>
    <t>ISHA GOYAL</t>
  </si>
  <si>
    <t>A1-P24</t>
  </si>
  <si>
    <t>DEVESH AGARWAL</t>
  </si>
  <si>
    <t>A1-P25</t>
  </si>
  <si>
    <t>A2-P01</t>
  </si>
  <si>
    <t>TARUSH AGARWAL</t>
  </si>
  <si>
    <t>A2-P02</t>
  </si>
  <si>
    <t>RAJAT GOYAL</t>
  </si>
  <si>
    <t>A2-P03</t>
  </si>
  <si>
    <t>RAHUL M AGARWAL</t>
  </si>
  <si>
    <t>A2-P04</t>
  </si>
  <si>
    <t>KUNJ BANSAL</t>
  </si>
  <si>
    <t>A2-P05</t>
  </si>
  <si>
    <t>BHAVESH RAKESH AGARWAL</t>
  </si>
  <si>
    <t>A2-P06</t>
  </si>
  <si>
    <t>DIVIJ GOYAL</t>
  </si>
  <si>
    <t>A2-P07</t>
  </si>
  <si>
    <t>PRATIK PRAKASH AGARWAL</t>
  </si>
  <si>
    <t>A2-P08</t>
  </si>
  <si>
    <t>VIRAJ VIJAYKUMAR GARG</t>
  </si>
  <si>
    <t>A2-P09</t>
  </si>
  <si>
    <t>YASH GOYAL</t>
  </si>
  <si>
    <t>A2-P10</t>
  </si>
  <si>
    <t>PRANAV AGARWAL</t>
  </si>
  <si>
    <t>A2-P11</t>
  </si>
  <si>
    <t>SAHIL SANJAY MITTAL</t>
  </si>
  <si>
    <t>A2-P12</t>
  </si>
  <si>
    <t>ROHAN SUNIL GOYAL</t>
  </si>
  <si>
    <t>A2-P13</t>
  </si>
  <si>
    <t>KUNAL BANSAL</t>
  </si>
  <si>
    <t>A2-P14</t>
  </si>
  <si>
    <t>DRON BANSAL</t>
  </si>
  <si>
    <t>A2-P15</t>
  </si>
  <si>
    <t>PRANAAV J AGARWAL</t>
  </si>
  <si>
    <t>A2-P16</t>
  </si>
  <si>
    <t>SAKSHI GOEL</t>
  </si>
  <si>
    <t>A2-P17</t>
  </si>
  <si>
    <t>VIDYASHREE CHOUDHARI</t>
  </si>
  <si>
    <t>A2-P18</t>
  </si>
  <si>
    <t>AISHWARYA AGARWAL</t>
  </si>
  <si>
    <t>A2-P19</t>
  </si>
  <si>
    <t>POOJA AGARWAL</t>
  </si>
  <si>
    <t>A2-P20</t>
  </si>
  <si>
    <t>RISHIKA GOYAL</t>
  </si>
  <si>
    <t>A2-P21</t>
  </si>
  <si>
    <t>NEHA MITTAL</t>
  </si>
  <si>
    <t>A2-P22</t>
  </si>
  <si>
    <t>BHOOMIRA BANSAL</t>
  </si>
  <si>
    <t>A2-P23</t>
  </si>
  <si>
    <t>KAJOL MITTAL</t>
  </si>
  <si>
    <t>A2-P24</t>
  </si>
  <si>
    <t>Shlok Agrawal</t>
  </si>
  <si>
    <t>A2-P25</t>
  </si>
  <si>
    <t>A3-P01</t>
  </si>
  <si>
    <t>ADITYAKUMAR AGARWAL</t>
  </si>
  <si>
    <t>A3-P02</t>
  </si>
  <si>
    <t>SANSKAR AGARWAL</t>
  </si>
  <si>
    <t>A3-P03</t>
  </si>
  <si>
    <t>VINAY MITTAL</t>
  </si>
  <si>
    <t>A3-P04</t>
  </si>
  <si>
    <t>PRATIK AGARWAL</t>
  </si>
  <si>
    <t>A3-P05</t>
  </si>
  <si>
    <t>YASH RAJESH AGARWAL</t>
  </si>
  <si>
    <t>A3-P06</t>
  </si>
  <si>
    <t>RONAK SINGHAL</t>
  </si>
  <si>
    <t>A3-P07</t>
  </si>
  <si>
    <t>CHETAN GOYAL</t>
  </si>
  <si>
    <t>A3-P08</t>
  </si>
  <si>
    <t>RISHAB AGARWAL</t>
  </si>
  <si>
    <t>A3-P09</t>
  </si>
  <si>
    <t>ANKUSH R AGARWAL</t>
  </si>
  <si>
    <t>A3-P10</t>
  </si>
  <si>
    <t>SHUBHAM MITTAL</t>
  </si>
  <si>
    <t>A3-P11</t>
  </si>
  <si>
    <t>TANAY GUPTA</t>
  </si>
  <si>
    <t>A3-P12</t>
  </si>
  <si>
    <t>AKASH BANSAL</t>
  </si>
  <si>
    <t>A3-P13</t>
  </si>
  <si>
    <t>PRATIK SUNIL AGARWAL</t>
  </si>
  <si>
    <t>A3-P14</t>
  </si>
  <si>
    <t>SAGAR BANSAL</t>
  </si>
  <si>
    <t>A3-P15</t>
  </si>
  <si>
    <t>VIKAS KUCHAL</t>
  </si>
  <si>
    <t>A3-P16</t>
  </si>
  <si>
    <t>NAMRATA BANSAL</t>
  </si>
  <si>
    <t>A3-P17</t>
  </si>
  <si>
    <t>KOMAL PRATIK AGARWAL</t>
  </si>
  <si>
    <t>A3-P18</t>
  </si>
  <si>
    <t>PRACHI GUPTA</t>
  </si>
  <si>
    <t>A3-P19</t>
  </si>
  <si>
    <t>RIYA ANIKET GUPTA</t>
  </si>
  <si>
    <t>A3-P20</t>
  </si>
  <si>
    <t>SHILPA AGARWAL</t>
  </si>
  <si>
    <t>A3-P21</t>
  </si>
  <si>
    <t>SHRISTI R AGARWAL</t>
  </si>
  <si>
    <t>A3-P22</t>
  </si>
  <si>
    <t>LAVINA AGARWAL</t>
  </si>
  <si>
    <t>A3-P23</t>
  </si>
  <si>
    <t>KARISHMA ANIL GOYAL</t>
  </si>
  <si>
    <t>A3-P24</t>
  </si>
  <si>
    <t>Omkar Anil Agrawal</t>
  </si>
  <si>
    <t>A3-P25</t>
  </si>
  <si>
    <t>A4-P01</t>
  </si>
  <si>
    <t>RITESH AGARWAL</t>
  </si>
  <si>
    <t>A4-P02</t>
  </si>
  <si>
    <t>SIDDHARTH JALAN</t>
  </si>
  <si>
    <t>A4-P03</t>
  </si>
  <si>
    <t>PIYUSH D AGARWAL</t>
  </si>
  <si>
    <t>A4-P04</t>
  </si>
  <si>
    <t>AYUSH GUPTA (PRACHI)</t>
  </si>
  <si>
    <t>A4-P05</t>
  </si>
  <si>
    <t>CHIRAG AGARWAL</t>
  </si>
  <si>
    <t>A4-P06</t>
  </si>
  <si>
    <t>ABHAY MITTAL</t>
  </si>
  <si>
    <t>A4-P07</t>
  </si>
  <si>
    <t>SHANTILAL PRAKASH GUPTA</t>
  </si>
  <si>
    <t>A4-P08</t>
  </si>
  <si>
    <t>SAGAR AGARWAL JIJA</t>
  </si>
  <si>
    <t>A4-P09</t>
  </si>
  <si>
    <t>AR. ROHIT AGARWAL</t>
  </si>
  <si>
    <t>A4-P10</t>
  </si>
  <si>
    <t>ARSHAL AGARWAL</t>
  </si>
  <si>
    <t>A4-P11</t>
  </si>
  <si>
    <t>PRANAV GOENKA</t>
  </si>
  <si>
    <t>A4-P12</t>
  </si>
  <si>
    <t>YASH BALKISHAN AGARWAL</t>
  </si>
  <si>
    <t>A4-P13</t>
  </si>
  <si>
    <t>SHUBHAM GARG</t>
  </si>
  <si>
    <t>A4-P14</t>
  </si>
  <si>
    <t>YASH GUPTA</t>
  </si>
  <si>
    <t>A4-P15</t>
  </si>
  <si>
    <t>ABHIR AGARWAL</t>
  </si>
  <si>
    <t>A4-P16</t>
  </si>
  <si>
    <t>SONIA AGARWAL</t>
  </si>
  <si>
    <t>A4-P17</t>
  </si>
  <si>
    <t>SHRUTI GUPTA</t>
  </si>
  <si>
    <t>A4-P18</t>
  </si>
  <si>
    <t>DEEPIKA PITTIE</t>
  </si>
  <si>
    <t>A4-P19</t>
  </si>
  <si>
    <t>SAYALI AGARWAL</t>
  </si>
  <si>
    <t>A4-P20</t>
  </si>
  <si>
    <t>NITI GARG</t>
  </si>
  <si>
    <t>A4-P21</t>
  </si>
  <si>
    <t>MANSI AGARWAL</t>
  </si>
  <si>
    <t>A4-P22</t>
  </si>
  <si>
    <t>PALLAVI KHATTAR</t>
  </si>
  <si>
    <t>A4-P23</t>
  </si>
  <si>
    <t>TANISHA ADITYA SINGHAL</t>
  </si>
  <si>
    <t>A4-P24</t>
  </si>
  <si>
    <t>UMANG GUPTA</t>
  </si>
  <si>
    <t>A4-P25</t>
  </si>
  <si>
    <t>B1-P01</t>
  </si>
  <si>
    <t>SIDDHANT JAIN</t>
  </si>
  <si>
    <t>B1-P02</t>
  </si>
  <si>
    <t>VANSH GOYAL</t>
  </si>
  <si>
    <t>B1-P03</t>
  </si>
  <si>
    <t>SANCHIT AGARWAL</t>
  </si>
  <si>
    <t>B1-P04</t>
  </si>
  <si>
    <t>RIDHAY AGARWAL</t>
  </si>
  <si>
    <t>B1-P05</t>
  </si>
  <si>
    <t>B1-P06</t>
  </si>
  <si>
    <t>ARYAN GOYAL</t>
  </si>
  <si>
    <t>B1-P07</t>
  </si>
  <si>
    <t>NITESH AGRAWAL</t>
  </si>
  <si>
    <t>B1-P08</t>
  </si>
  <si>
    <t>ANUJ MITTAL</t>
  </si>
  <si>
    <t>B1-P09</t>
  </si>
  <si>
    <t>ROHIT GOYAL</t>
  </si>
  <si>
    <t>B1-P10</t>
  </si>
  <si>
    <t>VEDANSH AGARWAL</t>
  </si>
  <si>
    <t>B1-P11</t>
  </si>
  <si>
    <t>KAPIL GARG</t>
  </si>
  <si>
    <t>B1-P12</t>
  </si>
  <si>
    <t>HRITIK BANSAL</t>
  </si>
  <si>
    <t>B1-P13</t>
  </si>
  <si>
    <t>NIKHIL BANSAL</t>
  </si>
  <si>
    <t>B1-P14</t>
  </si>
  <si>
    <t>MANAV AGARWAL</t>
  </si>
  <si>
    <t>B1-P15</t>
  </si>
  <si>
    <t>NAKUL PIMPALWARL</t>
  </si>
  <si>
    <t>B1-P16</t>
  </si>
  <si>
    <t>YAMINI GOYAL</t>
  </si>
  <si>
    <t>B1-P17</t>
  </si>
  <si>
    <t>ANJALI ANIKET AGARWAL</t>
  </si>
  <si>
    <t>B1-P18</t>
  </si>
  <si>
    <t>SAANJH BANSAL</t>
  </si>
  <si>
    <t>B1-P19</t>
  </si>
  <si>
    <t>ROSHNI BANSAL</t>
  </si>
  <si>
    <t>B1-P20</t>
  </si>
  <si>
    <t>POOJA AKSHAY AGARWAL</t>
  </si>
  <si>
    <t>B1-P21</t>
  </si>
  <si>
    <t>VIDHI</t>
  </si>
  <si>
    <t>B1-P22</t>
  </si>
  <si>
    <t>SHWETHA AGARWAL</t>
  </si>
  <si>
    <t>B1-P23</t>
  </si>
  <si>
    <t>TISHA R GOEL</t>
  </si>
  <si>
    <t>B1-P24</t>
  </si>
  <si>
    <t>Shraddha rohit goyal</t>
  </si>
  <si>
    <t>B1-P25</t>
  </si>
  <si>
    <t>B2-P01</t>
  </si>
  <si>
    <t>YAMAN JHAWAR</t>
  </si>
  <si>
    <t>B2-P02</t>
  </si>
  <si>
    <t>KHUSH AGARWAL</t>
  </si>
  <si>
    <t>B2-P03</t>
  </si>
  <si>
    <t>DUSHYANT PITTIE</t>
  </si>
  <si>
    <t>B2-P04</t>
  </si>
  <si>
    <t>KAPIL SURESH GUPTA</t>
  </si>
  <si>
    <t>B2-P05</t>
  </si>
  <si>
    <t>RAJAT AGARWAL</t>
  </si>
  <si>
    <t>B2-P06</t>
  </si>
  <si>
    <t>AROOSH BANSAL</t>
  </si>
  <si>
    <t>B2-P07</t>
  </si>
  <si>
    <t>AYUSH GUPTA</t>
  </si>
  <si>
    <t>B2-P08</t>
  </si>
  <si>
    <t>KAMAL MAHIPAL</t>
  </si>
  <si>
    <t>B2-P09</t>
  </si>
  <si>
    <t>VIRAJ AGARWAL</t>
  </si>
  <si>
    <t>B2-P10</t>
  </si>
  <si>
    <t>HARSH AGARWAL</t>
  </si>
  <si>
    <t>B2-P11</t>
  </si>
  <si>
    <t>PRASHANT BANSAL</t>
  </si>
  <si>
    <t>B2-P12</t>
  </si>
  <si>
    <t>PREM GUPTA</t>
  </si>
  <si>
    <t>B2-P13</t>
  </si>
  <si>
    <t>RAHUL S AGARWAL</t>
  </si>
  <si>
    <t>B2-P14</t>
  </si>
  <si>
    <t>KUSHAGRA AGARWAL</t>
  </si>
  <si>
    <t>B2-P15</t>
  </si>
  <si>
    <t>B2-P16</t>
  </si>
  <si>
    <t>VEDIKA AGARWAL</t>
  </si>
  <si>
    <t>B2-P17</t>
  </si>
  <si>
    <t>RINKI AGARWAL</t>
  </si>
  <si>
    <t>B2-P18</t>
  </si>
  <si>
    <t>PRITI AGARWAL</t>
  </si>
  <si>
    <t>B2-P19</t>
  </si>
  <si>
    <t>RUPALI V AGARWAL</t>
  </si>
  <si>
    <t>B2-P20</t>
  </si>
  <si>
    <t>KHUSBOO BANSAL</t>
  </si>
  <si>
    <t>B2-P21</t>
  </si>
  <si>
    <t>POOJA YOGESH BANSAL</t>
  </si>
  <si>
    <t>B2-P22</t>
  </si>
  <si>
    <t>SHEETAL GUPTA</t>
  </si>
  <si>
    <t>B2-P23</t>
  </si>
  <si>
    <t>TRUPTI BANSAL</t>
  </si>
  <si>
    <t>B2-P24</t>
  </si>
  <si>
    <t>B2-P25</t>
  </si>
  <si>
    <t>B3-P01</t>
  </si>
  <si>
    <t>ALKESH AGARWAL</t>
  </si>
  <si>
    <t>B3-P02</t>
  </si>
  <si>
    <t>ESHAAN ABHAY AGARWAL</t>
  </si>
  <si>
    <t>B3-P03</t>
  </si>
  <si>
    <t>SHUBHAM U AGARWAL</t>
  </si>
  <si>
    <t>B3-P04</t>
  </si>
  <si>
    <t>PRABAL GOYAL</t>
  </si>
  <si>
    <t>B3-P05</t>
  </si>
  <si>
    <t>RITANSH AGARWAL</t>
  </si>
  <si>
    <t>B3-P06</t>
  </si>
  <si>
    <t>DEVANSH GUPTA</t>
  </si>
  <si>
    <t>B3-P07</t>
  </si>
  <si>
    <t>ADITYA ARUN SINGHAL</t>
  </si>
  <si>
    <t>B3-P08</t>
  </si>
  <si>
    <t>VANSH D AGARWAL</t>
  </si>
  <si>
    <t>B3-P09</t>
  </si>
  <si>
    <t>RUDRA AGARWAL</t>
  </si>
  <si>
    <t>B3-P10</t>
  </si>
  <si>
    <t>CA ANIKET GARG</t>
  </si>
  <si>
    <t>B3-P11</t>
  </si>
  <si>
    <t>ADITYA RAVI AGRAWAL</t>
  </si>
  <si>
    <t>B3-P12</t>
  </si>
  <si>
    <t>HARSHIT NEMANI</t>
  </si>
  <si>
    <t>B3-P13</t>
  </si>
  <si>
    <t>DEVANSH AGARWAL</t>
  </si>
  <si>
    <t>B3-P14</t>
  </si>
  <si>
    <t>TEJAS DHANNAWAT</t>
  </si>
  <si>
    <t>B3-P15</t>
  </si>
  <si>
    <t>RAJ GARG</t>
  </si>
  <si>
    <t>B3-P16</t>
  </si>
  <si>
    <t>RASHI BANSAL</t>
  </si>
  <si>
    <t>B3-P17</t>
  </si>
  <si>
    <t>PREETI YASH GOYAL</t>
  </si>
  <si>
    <t>B3-P18</t>
  </si>
  <si>
    <t>RINKI GOYAL</t>
  </si>
  <si>
    <t>B3-P19</t>
  </si>
  <si>
    <t>NIKITA GOYAL</t>
  </si>
  <si>
    <t>B3-P20</t>
  </si>
  <si>
    <t>MEGHAL R AGARWAL</t>
  </si>
  <si>
    <t>B3-P21</t>
  </si>
  <si>
    <t>OSHINA JALAN</t>
  </si>
  <si>
    <t>B3-P22</t>
  </si>
  <si>
    <t>VANSHIKA NITESH AGARWAL</t>
  </si>
  <si>
    <t>B3-P23</t>
  </si>
  <si>
    <t>VIDHI BANSAL</t>
  </si>
  <si>
    <t>B3-P24</t>
  </si>
  <si>
    <t>Ayush Agrawal</t>
  </si>
  <si>
    <t>B3-P25</t>
  </si>
  <si>
    <t>B4-P01</t>
  </si>
  <si>
    <t>HIREN AGARWAL</t>
  </si>
  <si>
    <t>B4-P02</t>
  </si>
  <si>
    <t>AASHISH AGARWAL</t>
  </si>
  <si>
    <t>B4-P03</t>
  </si>
  <si>
    <t>MEHUL AGARWAL</t>
  </si>
  <si>
    <t>B4-P04</t>
  </si>
  <si>
    <t>SOMIL MITTAL</t>
  </si>
  <si>
    <t>B4-P05</t>
  </si>
  <si>
    <t>RISHABH MITTAL</t>
  </si>
  <si>
    <t>B4-P06</t>
  </si>
  <si>
    <t>YASH AGARWAL</t>
  </si>
  <si>
    <t>B4-P07</t>
  </si>
  <si>
    <t>ANIKET S GUPTA</t>
  </si>
  <si>
    <t>B4-P08</t>
  </si>
  <si>
    <t>ARCCHIT AGARWAL</t>
  </si>
  <si>
    <t>B4-P09</t>
  </si>
  <si>
    <t>SHLOK AGARWAL</t>
  </si>
  <si>
    <t>B4-P10</t>
  </si>
  <si>
    <t>RISHI AGARWAL</t>
  </si>
  <si>
    <t>B4-P11</t>
  </si>
  <si>
    <t>HARSH S GOYAL</t>
  </si>
  <si>
    <t>B4-P12</t>
  </si>
  <si>
    <t>SHUBHAM PAWAN GUPTA</t>
  </si>
  <si>
    <t>B4-P13</t>
  </si>
  <si>
    <t>AAHAN JEETENDRA AGARWAL</t>
  </si>
  <si>
    <t>B4-P14</t>
  </si>
  <si>
    <t>RITUJ RAVI AGARWAL</t>
  </si>
  <si>
    <t>B4-P15</t>
  </si>
  <si>
    <t>MAYUR AGARWAL</t>
  </si>
  <si>
    <t>B4-P16</t>
  </si>
  <si>
    <t>NIDHI S AGARWAL</t>
  </si>
  <si>
    <t>B4-P17</t>
  </si>
  <si>
    <t>PAYAL AGARWAL</t>
  </si>
  <si>
    <t>B4-P18</t>
  </si>
  <si>
    <t>RIYA NARESH GUPTA</t>
  </si>
  <si>
    <t>B4-P19</t>
  </si>
  <si>
    <t>RICHA AGARWAL</t>
  </si>
  <si>
    <t>B4-P20</t>
  </si>
  <si>
    <t>NISHITA MUKESH GOYAL</t>
  </si>
  <si>
    <t>B4-P21</t>
  </si>
  <si>
    <t>RIYA TANAY AGARWAL</t>
  </si>
  <si>
    <t>B4-P22</t>
  </si>
  <si>
    <t>NAINA AGARWAL</t>
  </si>
  <si>
    <t>B4-P23</t>
  </si>
  <si>
    <t>Sahil Agrawal</t>
  </si>
  <si>
    <t>B4-P24</t>
  </si>
  <si>
    <t>B4-P25</t>
  </si>
  <si>
    <t>MATCH RESULTS &amp; POINTS ENTRY</t>
  </si>
  <si>
    <t>Match No.</t>
  </si>
  <si>
    <t>Time</t>
  </si>
  <si>
    <t>Sport</t>
  </si>
  <si>
    <t>Category</t>
  </si>
  <si>
    <t>Stage</t>
  </si>
  <si>
    <t>Planned Fixture</t>
  </si>
  <si>
    <t>Team 1</t>
  </si>
  <si>
    <t>Team 2</t>
  </si>
  <si>
    <t>Winner (INPUT)</t>
  </si>
  <si>
    <t>Result Check</t>
  </si>
  <si>
    <t>Team 1 Pts</t>
  </si>
  <si>
    <t>Team 2 Pts</t>
  </si>
  <si>
    <t>Loser</t>
  </si>
  <si>
    <t>Completed?</t>
  </si>
  <si>
    <t>9:00 AM-9:30 AM</t>
  </si>
  <si>
    <t>Badminton</t>
  </si>
  <si>
    <t>Boys Doubles</t>
  </si>
  <si>
    <t>League</t>
  </si>
  <si>
    <t>A1 vs A2</t>
  </si>
  <si>
    <t>Girls Doubles</t>
  </si>
  <si>
    <t>A3 vs A4</t>
  </si>
  <si>
    <t>Mixed Doubles</t>
  </si>
  <si>
    <t>B1 vs B4</t>
  </si>
  <si>
    <t>Pickleball</t>
  </si>
  <si>
    <t>A1 vs A4</t>
  </si>
  <si>
    <t>A2 vs A3</t>
  </si>
  <si>
    <t>B2 vs B3</t>
  </si>
  <si>
    <t>Table Tennis</t>
  </si>
  <si>
    <t>B1 vs B2</t>
  </si>
  <si>
    <t>B3 vs B4</t>
  </si>
  <si>
    <t>Carrom</t>
  </si>
  <si>
    <t>A1 vs A3</t>
  </si>
  <si>
    <t>A2 vs A4</t>
  </si>
  <si>
    <t>B2 vs B4</t>
  </si>
  <si>
    <t>Football</t>
  </si>
  <si>
    <t>Boys</t>
  </si>
  <si>
    <t>B1 vs B3</t>
  </si>
  <si>
    <t>9:30 AM-10:00 AM</t>
  </si>
  <si>
    <t>10:00 AM-10:30 AM</t>
  </si>
  <si>
    <t>10:30 AM-11:00 AM</t>
  </si>
  <si>
    <t>11:00 AM-11:30 AM</t>
  </si>
  <si>
    <t>11:30 AM-12:00 PM</t>
  </si>
  <si>
    <t>12:00 PM-12:30 PM</t>
  </si>
  <si>
    <t>12:30 PM-1:00 PM</t>
  </si>
  <si>
    <t>1:00 PM-1:30 PM</t>
  </si>
  <si>
    <t>1:30 PM-2:00 PM</t>
  </si>
  <si>
    <t>2:00 PM-2:30 PM</t>
  </si>
  <si>
    <t>2:30 PM-3:00 PM</t>
  </si>
  <si>
    <t>PLAYER APPEARANCE &amp; ELIGIBILITY TRACKER</t>
  </si>
  <si>
    <t>For every doubles match, enter 4 Player Codes in the yellow cells: Players 1-2 for the first team and Players 3-4 for the opposing team. League count is cumulative in match-number order.</t>
  </si>
  <si>
    <t>Playing Team</t>
  </si>
  <si>
    <t>Opponent Team</t>
  </si>
  <si>
    <t>Side</t>
  </si>
  <si>
    <t>Player No. in Match</t>
  </si>
  <si>
    <t>Player Code (INPUT)</t>
  </si>
  <si>
    <t>Player Name</t>
  </si>
  <si>
    <t>Roster Check</t>
  </si>
  <si>
    <t>League Count vs Opponent</t>
  </si>
  <si>
    <t>Rule Status</t>
  </si>
  <si>
    <t>Audit Note</t>
  </si>
  <si>
    <t>MASTER MATCH SCHEDULE</t>
  </si>
  <si>
    <t>Block</t>
  </si>
  <si>
    <t>Group</t>
  </si>
  <si>
    <t>Fixture</t>
  </si>
  <si>
    <t>Facility</t>
  </si>
  <si>
    <t>Source</t>
  </si>
  <si>
    <t>A</t>
  </si>
  <si>
    <t>C1</t>
  </si>
  <si>
    <t>Official PDF</t>
  </si>
  <si>
    <t>C2</t>
  </si>
  <si>
    <t>B</t>
  </si>
  <si>
    <t>C3</t>
  </si>
  <si>
    <t>P1</t>
  </si>
  <si>
    <t>P2</t>
  </si>
  <si>
    <t>P3</t>
  </si>
  <si>
    <t>TT1</t>
  </si>
  <si>
    <t>TT2</t>
  </si>
  <si>
    <t>Football Ground</t>
  </si>
  <si>
    <t>Enter league winners. The Qualifiers sheet ranks each sport/category by group; semifinal teams fill automatically and final teams follow semifinal winners.</t>
  </si>
  <si>
    <t>Select the winner for each completed match. Both sides receive 0 until a valid winner is entered.</t>
  </si>
  <si>
    <t>Unresolved knockout teams</t>
  </si>
  <si>
    <t>Yellow cells are organizer inputs. Semifinal teams populate from Qualifiers; final teams populate after valid semifinal winners are entered.</t>
  </si>
  <si>
    <t>3:30 PM-4:00 PM</t>
  </si>
  <si>
    <t>SF1</t>
  </si>
  <si>
    <t>Group A #1 vs Group B #2</t>
  </si>
  <si>
    <t>Source: SEMIS AND FINAL.pdf</t>
  </si>
  <si>
    <t>4:00 PM-4:30 PM</t>
  </si>
  <si>
    <t>SF2</t>
  </si>
  <si>
    <t>Group A #2 vs Group B #1</t>
  </si>
  <si>
    <t>4:30 PM-5:00 PM</t>
  </si>
  <si>
    <t>5:00 PM-5:30 PM</t>
  </si>
  <si>
    <t>5:30 PM-6:00 PM</t>
  </si>
  <si>
    <t>6:00 PM-6:30 PM</t>
  </si>
  <si>
    <t>6:30 PM-7:00 PM</t>
  </si>
  <si>
    <t>Final</t>
  </si>
  <si>
    <t>Winner SF1 vs Winner SF2</t>
  </si>
  <si>
    <t>7:00 PM-7:30 PM</t>
  </si>
  <si>
    <t>7:30 PM-8:00 PM</t>
  </si>
  <si>
    <t>8:00 PM-8:30 PM</t>
  </si>
  <si>
    <t>8:30 PM-9:00 PM</t>
  </si>
  <si>
    <t>SEMIS AND FINAL.pdf</t>
  </si>
  <si>
    <t>SEMIFINAL QUALIFICATION - GROUP A &amp; GROUP B</t>
  </si>
  <si>
    <t>Top 2 teams from each group qualify. Points = 10 per valid league win for that sport/category. Equal points use team-code order temporarily; use Manual Seed below if the organizer applies a different tie-break.</t>
  </si>
  <si>
    <t>Group A #1</t>
  </si>
  <si>
    <t>Group A #2</t>
  </si>
  <si>
    <t>Group B #1</t>
  </si>
  <si>
    <t>Group B #2</t>
  </si>
  <si>
    <t>Tie Check</t>
  </si>
  <si>
    <t>DETAILED GROUP RANKING</t>
  </si>
  <si>
    <t>Points</t>
  </si>
  <si>
    <t>Auto Seed</t>
  </si>
  <si>
    <t>Points Tie</t>
  </si>
  <si>
    <t>Manual Seed (INPUT)</t>
  </si>
  <si>
    <t>Final 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</si>
</sst>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18"/>
      <color rgb="FFFFFFFF"/>
      <name val="Aptos"/>
    </font>
    <font>
      <sz val="11"/>
      <name val="Aptos"/>
    </font>
    <font>
      <b/>
      <sz val="11"/>
      <color rgb="FF102A43"/>
      <name val="Aptos"/>
    </font>
    <font>
      <i/>
      <sz val="11"/>
      <color rgb="FF102A43"/>
      <name val="Aptos"/>
    </font>
    <font>
      <sz val="11"/>
      <color theme="1"/>
      <name val="Aptos"/>
    </font>
    <font>
      <sz val="10"/>
      <name val="Arial"/>
    </font>
    <font>
      <i/>
      <sz val="10"/>
      <color rgb="FF4D4D4D"/>
      <name val="Arial"/>
    </font>
    <font>
      <b/>
      <sz val="10"/>
      <color rgb="FF102F46"/>
      <name val="Arial"/>
    </font>
    <font>
      <b/>
      <sz val="10"/>
      <color rgb="FF12324A"/>
      <name val="Arial"/>
    </font>
    <font>
      <b/>
      <sz val="16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FFF7D6"/>
      </patternFill>
    </fill>
    <fill>
      <patternFill patternType="solid">
        <fgColor rgb="FFD4A72C"/>
      </patternFill>
    </fill>
    <fill>
      <patternFill patternType="solid">
        <fgColor rgb="FFE7E6E6"/>
      </patternFill>
    </fill>
    <fill>
      <patternFill patternType="solid">
        <fgColor rgb="FFEAF2F8"/>
      </patternFill>
    </fill>
    <fill>
      <patternFill patternType="solid">
        <fgColor rgb="FFFFFCEB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12324A"/>
      </patternFill>
    </fill>
    <fill>
      <patternFill patternType="solid">
        <fgColor rgb="FFD9AD2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39">
    <border>
      <left/>
      <right/>
      <top/>
      <bottom/>
      <diagonal/>
    </border>
    <border>
      <left/>
      <right style="thin">
        <color rgb="FFC8A951"/>
      </right>
      <top/>
      <bottom/>
      <diagonal/>
    </border>
    <border>
      <left style="thin">
        <color rgb="FFC8A951"/>
      </left>
      <right/>
      <top/>
      <bottom/>
      <diagonal/>
    </border>
    <border>
      <left style="thin">
        <color rgb="FFAAB7C4"/>
      </left>
      <right/>
      <top style="thin">
        <color rgb="FFAAB7C4"/>
      </top>
      <bottom style="thin">
        <color rgb="FFAAB7C4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C8A951"/>
      </left>
      <right style="thin">
        <color rgb="FFC8A951"/>
      </right>
      <top/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C8A951"/>
      </right>
      <top/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C8A951"/>
      </right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C8A951"/>
      </right>
      <top style="thin">
        <color rgb="FFE0E0E0"/>
      </top>
      <bottom/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 style="thin">
        <color rgb="FFE6E6E6"/>
      </top>
      <bottom style="thin">
        <color rgb="FFE6E6E6"/>
      </bottom>
      <diagonal/>
    </border>
    <border>
      <left/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 style="thin">
        <color rgb="FFE6E6E6"/>
      </top>
      <bottom/>
      <diagonal/>
    </border>
    <border>
      <left style="thin">
        <color rgb="FFE6E6E6"/>
      </left>
      <right style="thin">
        <color rgb="FFC8A951"/>
      </right>
      <top/>
      <bottom style="thin">
        <color rgb="FFE6E6E6"/>
      </bottom>
      <diagonal/>
    </border>
    <border>
      <left style="thin">
        <color rgb="FFE6E6E6"/>
      </left>
      <right style="thin">
        <color rgb="FFC8A951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C8A951"/>
      </right>
      <top style="thin">
        <color rgb="FFE6E6E6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C8A951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C8A951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C8A951"/>
      </right>
      <top style="thin">
        <color rgb="FFD9D9D9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6" borderId="0" xfId="0" applyFont="1" applyFill="1"/>
    <xf numFmtId="0" fontId="3" fillId="4" borderId="28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36" xfId="0" applyFont="1" applyBorder="1"/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2" fillId="7" borderId="11" xfId="0" applyFont="1" applyFill="1" applyBorder="1"/>
    <xf numFmtId="0" fontId="2" fillId="7" borderId="12" xfId="0" applyFont="1" applyFill="1" applyBorder="1"/>
    <xf numFmtId="0" fontId="2" fillId="0" borderId="13" xfId="0" applyFont="1" applyBorder="1"/>
    <xf numFmtId="0" fontId="2" fillId="0" borderId="14" xfId="0" applyFont="1" applyBorder="1"/>
    <xf numFmtId="0" fontId="2" fillId="7" borderId="14" xfId="0" applyFont="1" applyFill="1" applyBorder="1"/>
    <xf numFmtId="0" fontId="2" fillId="7" borderId="15" xfId="0" applyFont="1" applyFill="1" applyBorder="1"/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2" fillId="0" borderId="20" xfId="0" applyFont="1" applyBorder="1"/>
    <xf numFmtId="0" fontId="2" fillId="7" borderId="20" xfId="0" applyFont="1" applyFill="1" applyBorder="1"/>
    <xf numFmtId="0" fontId="2" fillId="7" borderId="26" xfId="0" applyFont="1" applyFill="1" applyBorder="1"/>
    <xf numFmtId="0" fontId="2" fillId="0" borderId="22" xfId="0" applyFont="1" applyBorder="1"/>
    <xf numFmtId="0" fontId="2" fillId="0" borderId="23" xfId="0" applyFont="1" applyBorder="1"/>
    <xf numFmtId="0" fontId="2" fillId="7" borderId="23" xfId="0" applyFont="1" applyFill="1" applyBorder="1"/>
    <xf numFmtId="0" fontId="2" fillId="0" borderId="26" xfId="0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3" fillId="4" borderId="6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21" xfId="0" applyFont="1" applyBorder="1"/>
    <xf numFmtId="0" fontId="2" fillId="0" borderId="24" xfId="0" applyFont="1" applyBorder="1"/>
    <xf numFmtId="1" fontId="2" fillId="0" borderId="20" xfId="0" applyNumberFormat="1" applyFont="1" applyBorder="1"/>
    <xf numFmtId="1" fontId="2" fillId="0" borderId="28" xfId="0" applyNumberFormat="1" applyFont="1" applyBorder="1"/>
    <xf numFmtId="1" fontId="2" fillId="0" borderId="35" xfId="0" applyNumberFormat="1" applyFont="1" applyBorder="1"/>
    <xf numFmtId="0" fontId="5" fillId="7" borderId="20" xfId="0" applyFont="1" applyFill="1" applyBorder="1"/>
    <xf numFmtId="0" fontId="5" fillId="0" borderId="11" xfId="0" applyFont="1" applyBorder="1"/>
    <xf numFmtId="0" fontId="5" fillId="8" borderId="11" xfId="0" applyFont="1" applyFill="1" applyBorder="1"/>
    <xf numFmtId="0" fontId="6" fillId="0" borderId="0" xfId="0" applyFont="1"/>
    <xf numFmtId="0" fontId="8" fillId="10" borderId="37" xfId="0" applyFont="1" applyFill="1" applyBorder="1" applyAlignment="1">
      <alignment horizontal="center" vertical="center"/>
    </xf>
    <xf numFmtId="0" fontId="6" fillId="0" borderId="38" xfId="0" applyFont="1" applyBorder="1" applyAlignment="1">
      <alignment vertical="center"/>
    </xf>
    <xf numFmtId="0" fontId="8" fillId="10" borderId="37" xfId="0" applyFont="1" applyFill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/>
    </xf>
    <xf numFmtId="0" fontId="6" fillId="12" borderId="38" xfId="0" applyFont="1" applyFill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1" fontId="2" fillId="0" borderId="20" xfId="0" applyNumberFormat="1" applyFont="1" applyBorder="1" applyAlignment="1">
      <alignment vertical="center"/>
    </xf>
    <xf numFmtId="0" fontId="2" fillId="7" borderId="26" xfId="0" applyFont="1" applyFill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1" fontId="2" fillId="0" borderId="23" xfId="0" applyNumberFormat="1" applyFont="1" applyBorder="1" applyAlignment="1">
      <alignment vertical="center"/>
    </xf>
    <xf numFmtId="0" fontId="2" fillId="7" borderId="27" xfId="0" applyFont="1" applyFill="1" applyBorder="1" applyAlignment="1">
      <alignment vertical="center"/>
    </xf>
    <xf numFmtId="0" fontId="2" fillId="13" borderId="20" xfId="0" applyFont="1" applyFill="1" applyBorder="1" applyAlignment="1">
      <alignment vertical="center"/>
    </xf>
    <xf numFmtId="0" fontId="2" fillId="12" borderId="20" xfId="0" applyFont="1" applyFill="1" applyBorder="1" applyAlignment="1">
      <alignment vertical="center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left" vertical="center"/>
    </xf>
    <xf numFmtId="0" fontId="3" fillId="3" borderId="0" xfId="0" applyFont="1" applyFill="1" applyAlignment="1">
      <alignment wrapText="1"/>
    </xf>
    <xf numFmtId="0" fontId="3" fillId="6" borderId="3" xfId="0" applyFont="1" applyFill="1" applyBorder="1"/>
    <xf numFmtId="0" fontId="3" fillId="6" borderId="4" xfId="0" applyFont="1" applyFill="1" applyBorder="1"/>
    <xf numFmtId="0" fontId="3" fillId="6" borderId="5" xfId="0" applyFont="1" applyFill="1" applyBorder="1"/>
    <xf numFmtId="0" fontId="4" fillId="3" borderId="0" xfId="0" applyFont="1" applyFill="1"/>
    <xf numFmtId="0" fontId="10" fillId="9" borderId="0" xfId="0" applyFont="1" applyFill="1" applyAlignment="1">
      <alignment horizontal="left" vertical="center"/>
    </xf>
    <xf numFmtId="0" fontId="7" fillId="0" borderId="0" xfId="0" applyFont="1" applyAlignment="1">
      <alignment wrapText="1"/>
    </xf>
    <xf numFmtId="0" fontId="9" fillId="11" borderId="0" xfId="0" applyFont="1" applyFill="1"/>
  </cellXfs>
  <cellStyles count="1">
    <cellStyle name="Normal" xfId="0" builtinId="0"/>
  </cellStyles>
  <dxfs count="12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7F6000"/>
      </font>
      <fill>
        <patternFill>
          <bgColor rgb="FFFCE5CD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666666"/>
      </font>
      <fill>
        <patternFill>
          <bgColor rgb="FFE7E6E6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CE5CD"/>
        </patternFill>
      </fill>
    </dxf>
    <dxf>
      <font>
        <b/>
        <color rgb="FF274E13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sterTable" displayName="RosterTable" ref="A5:E205" totalsRowShown="0">
  <tableColumns count="5">
    <tableColumn id="1" xr3:uid="{00000000-0010-0000-0000-000001000000}" name="Team"/>
    <tableColumn id="2" xr3:uid="{00000000-0010-0000-0000-000002000000}" name="Player Code"/>
    <tableColumn id="3" xr3:uid="{00000000-0010-0000-0000-000003000000}" name="Player Name (INPUT)"/>
    <tableColumn id="4" xr3:uid="{00000000-0010-0000-0000-000004000000}" name="Gender (INPUT)"/>
    <tableColumn id="5" xr3:uid="{00000000-0010-0000-0000-000005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esultsTable" displayName="ResultsTable" ref="A5:O185" totalsRowShown="0">
  <tableColumns count="15">
    <tableColumn id="1" xr3:uid="{00000000-0010-0000-0100-000001000000}" name="Match No."/>
    <tableColumn id="2" xr3:uid="{00000000-0010-0000-0100-000002000000}" name="Time"/>
    <tableColumn id="3" xr3:uid="{00000000-0010-0000-0100-000003000000}" name="Sport"/>
    <tableColumn id="4" xr3:uid="{00000000-0010-0000-0100-000004000000}" name="Category"/>
    <tableColumn id="5" xr3:uid="{00000000-0010-0000-0100-000005000000}" name="Stage"/>
    <tableColumn id="6" xr3:uid="{00000000-0010-0000-0100-000006000000}" name="Planned Fixture"/>
    <tableColumn id="7" xr3:uid="{00000000-0010-0000-0100-000007000000}" name="Team 1"/>
    <tableColumn id="8" xr3:uid="{00000000-0010-0000-0100-000008000000}" name="Team 2"/>
    <tableColumn id="9" xr3:uid="{00000000-0010-0000-0100-000009000000}" name="Winner (INPUT)"/>
    <tableColumn id="10" xr3:uid="{00000000-0010-0000-0100-00000A000000}" name="Result Check"/>
    <tableColumn id="11" xr3:uid="{00000000-0010-0000-0100-00000B000000}" name="Team 1 Pts"/>
    <tableColumn id="12" xr3:uid="{00000000-0010-0000-0100-00000C000000}" name="Team 2 Pts"/>
    <tableColumn id="13" xr3:uid="{00000000-0010-0000-0100-00000D000000}" name="Loser"/>
    <tableColumn id="14" xr3:uid="{00000000-0010-0000-0100-00000E000000}" name="Completed?"/>
    <tableColumn id="15" xr3:uid="{00000000-0010-0000-0100-00000F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UsageTable" displayName="UsageTable" ref="A5:O875" totalsRowShown="0">
  <tableColumns count="15">
    <tableColumn id="1" xr3:uid="{00000000-0010-0000-0200-000001000000}" name="Match No."/>
    <tableColumn id="2" xr3:uid="{00000000-0010-0000-0200-000002000000}" name="Time"/>
    <tableColumn id="3" xr3:uid="{00000000-0010-0000-0200-000003000000}" name="Stage"/>
    <tableColumn id="4" xr3:uid="{00000000-0010-0000-0200-000004000000}" name="Sport"/>
    <tableColumn id="5" xr3:uid="{00000000-0010-0000-0200-000005000000}" name="Category"/>
    <tableColumn id="6" xr3:uid="{00000000-0010-0000-0200-000006000000}" name="Playing Team"/>
    <tableColumn id="7" xr3:uid="{00000000-0010-0000-0200-000007000000}" name="Opponent Team"/>
    <tableColumn id="8" xr3:uid="{00000000-0010-0000-0200-000008000000}" name="Side"/>
    <tableColumn id="9" xr3:uid="{00000000-0010-0000-0200-000009000000}" name="Slot"/>
    <tableColumn id="10" xr3:uid="{00000000-0010-0000-0200-00000A000000}" name="Player Code (INPUT)"/>
    <tableColumn id="11" xr3:uid="{00000000-0010-0000-0200-00000B000000}" name="Player Name"/>
    <tableColumn id="12" xr3:uid="{00000000-0010-0000-0200-00000C000000}" name="Roster Check"/>
    <tableColumn id="13" xr3:uid="{00000000-0010-0000-0200-00000D000000}" name="League Count vs Opponent"/>
    <tableColumn id="14" xr3:uid="{00000000-0010-0000-0200-00000E000000}" name="Rule Status"/>
    <tableColumn id="15" xr3:uid="{00000000-0010-0000-0200-00000F000000}" name="Audit 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ScheduleTable" displayName="ScheduleTable" ref="A4:J184" totalsRowShown="0">
  <autoFilter ref="A4:J184" xr:uid="{00000000-0009-0000-0100-000002000000}"/>
  <tableColumns count="10">
    <tableColumn id="1" xr3:uid="{00000000-0010-0000-0300-000001000000}" name="Match No."/>
    <tableColumn id="2" xr3:uid="{00000000-0010-0000-0300-000002000000}" name="Block"/>
    <tableColumn id="3" xr3:uid="{00000000-0010-0000-0300-000003000000}" name="Time"/>
    <tableColumn id="4" xr3:uid="{00000000-0010-0000-0300-000004000000}" name="Sport"/>
    <tableColumn id="5" xr3:uid="{00000000-0010-0000-0300-000005000000}" name="Category"/>
    <tableColumn id="6" xr3:uid="{00000000-0010-0000-0300-000006000000}" name="Stage"/>
    <tableColumn id="7" xr3:uid="{00000000-0010-0000-0300-000007000000}" name="Group"/>
    <tableColumn id="8" xr3:uid="{00000000-0010-0000-0300-000008000000}" name="Fixture"/>
    <tableColumn id="9" xr3:uid="{00000000-0010-0000-0300-000009000000}" name="Facility"/>
    <tableColumn id="10" xr3:uid="{00000000-0010-0000-0300-00000A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workbookViewId="0">
      <selection sqref="A1:H2"/>
    </sheetView>
  </sheetViews>
  <sheetFormatPr defaultRowHeight="14.25"/>
  <cols>
    <col min="1" max="1" width="20" customWidth="1"/>
    <col min="2" max="2" width="72" customWidth="1"/>
    <col min="3" max="8" width="17" customWidth="1"/>
  </cols>
  <sheetData>
    <row r="1" spans="1:8" ht="33.950000000000003" customHeight="1">
      <c r="A1" s="68" t="s">
        <v>0</v>
      </c>
      <c r="B1" s="68" t="s">
        <v>0</v>
      </c>
      <c r="C1" s="68" t="s">
        <v>0</v>
      </c>
      <c r="D1" s="68" t="s">
        <v>0</v>
      </c>
      <c r="E1" s="68" t="s">
        <v>0</v>
      </c>
      <c r="F1" s="68" t="s">
        <v>0</v>
      </c>
      <c r="G1" s="68" t="s">
        <v>0</v>
      </c>
      <c r="H1" s="68" t="s">
        <v>0</v>
      </c>
    </row>
    <row r="2" spans="1:8" ht="33.950000000000003" customHeight="1">
      <c r="A2" s="68" t="s">
        <v>0</v>
      </c>
      <c r="B2" s="68" t="s">
        <v>0</v>
      </c>
      <c r="C2" s="68" t="s">
        <v>0</v>
      </c>
      <c r="D2" s="68" t="s">
        <v>0</v>
      </c>
      <c r="E2" s="68" t="s">
        <v>0</v>
      </c>
      <c r="F2" s="68" t="s">
        <v>0</v>
      </c>
      <c r="G2" s="68" t="s">
        <v>0</v>
      </c>
      <c r="H2" s="68" t="s">
        <v>0</v>
      </c>
    </row>
    <row r="3" spans="1:8" ht="15">
      <c r="A3" s="1"/>
      <c r="B3" s="1"/>
      <c r="C3" s="1"/>
      <c r="D3" s="1"/>
      <c r="E3" s="1"/>
      <c r="F3" s="1"/>
      <c r="G3" s="1"/>
      <c r="H3" s="1"/>
    </row>
    <row r="4" spans="1:8" ht="15">
      <c r="A4" s="69" t="s">
        <v>1</v>
      </c>
      <c r="B4" s="69"/>
      <c r="C4" s="69"/>
      <c r="D4" s="69"/>
      <c r="E4" s="69"/>
      <c r="F4" s="69"/>
      <c r="G4" s="69"/>
      <c r="H4" s="69"/>
    </row>
    <row r="5" spans="1:8" ht="15">
      <c r="A5" s="1"/>
      <c r="B5" s="1"/>
      <c r="C5" s="1"/>
      <c r="D5" s="1"/>
      <c r="E5" s="1"/>
      <c r="F5" s="1"/>
      <c r="G5" s="1"/>
      <c r="H5" s="1"/>
    </row>
    <row r="6" spans="1:8" ht="15">
      <c r="A6" s="2" t="s">
        <v>2</v>
      </c>
      <c r="B6" s="3" t="s">
        <v>3</v>
      </c>
      <c r="C6" s="1"/>
      <c r="D6" s="1"/>
      <c r="E6" s="1"/>
      <c r="F6" s="1"/>
      <c r="G6" s="1"/>
      <c r="H6" s="1"/>
    </row>
    <row r="7" spans="1:8" ht="30">
      <c r="A7" s="4" t="s">
        <v>4</v>
      </c>
      <c r="B7" s="5" t="s">
        <v>5</v>
      </c>
      <c r="C7" s="1"/>
      <c r="D7" s="1"/>
      <c r="E7" s="1"/>
      <c r="F7" s="1"/>
      <c r="G7" s="1"/>
      <c r="H7" s="1"/>
    </row>
    <row r="8" spans="1:8" ht="30">
      <c r="A8" s="4" t="s">
        <v>6</v>
      </c>
      <c r="B8" s="5" t="s">
        <v>534</v>
      </c>
      <c r="C8" s="1"/>
      <c r="D8" s="1"/>
      <c r="E8" s="1"/>
      <c r="F8" s="1"/>
      <c r="G8" s="1"/>
      <c r="H8" s="1"/>
    </row>
    <row r="9" spans="1:8" ht="30">
      <c r="A9" s="4" t="s">
        <v>7</v>
      </c>
      <c r="B9" s="5" t="s">
        <v>535</v>
      </c>
      <c r="C9" s="1"/>
      <c r="D9" s="1"/>
      <c r="E9" s="1"/>
      <c r="F9" s="1"/>
      <c r="G9" s="1"/>
      <c r="H9" s="1"/>
    </row>
    <row r="10" spans="1:8" ht="30">
      <c r="A10" s="4" t="s">
        <v>8</v>
      </c>
      <c r="B10" s="5" t="s">
        <v>9</v>
      </c>
      <c r="C10" s="1"/>
      <c r="D10" s="1"/>
      <c r="E10" s="1"/>
      <c r="F10" s="1"/>
      <c r="G10" s="1"/>
      <c r="H10" s="1"/>
    </row>
    <row r="11" spans="1:8" ht="30">
      <c r="A11" s="4" t="s">
        <v>10</v>
      </c>
      <c r="B11" s="5" t="s">
        <v>11</v>
      </c>
      <c r="C11" s="1"/>
      <c r="D11" s="1"/>
      <c r="E11" s="1"/>
      <c r="F11" s="1"/>
      <c r="G11" s="1"/>
      <c r="H11" s="1"/>
    </row>
    <row r="12" spans="1:8" ht="15">
      <c r="A12" s="4" t="s">
        <v>12</v>
      </c>
      <c r="B12" s="5" t="s">
        <v>13</v>
      </c>
      <c r="C12" s="1"/>
      <c r="D12" s="1"/>
      <c r="E12" s="1"/>
      <c r="F12" s="1"/>
      <c r="G12" s="1"/>
      <c r="H12" s="1"/>
    </row>
    <row r="13" spans="1:8" ht="15">
      <c r="A13" s="1"/>
      <c r="B13" s="1"/>
      <c r="C13" s="1"/>
      <c r="D13" s="1"/>
      <c r="E13" s="1"/>
      <c r="F13" s="1"/>
      <c r="G13" s="1"/>
      <c r="H13" s="1"/>
    </row>
    <row r="14" spans="1:8" ht="15">
      <c r="A14" s="70" t="s">
        <v>14</v>
      </c>
      <c r="B14" s="71"/>
      <c r="C14" s="71"/>
      <c r="D14" s="71"/>
      <c r="E14" s="71"/>
      <c r="F14" s="71"/>
      <c r="G14" s="71"/>
      <c r="H14" s="72"/>
    </row>
    <row r="15" spans="1:8" ht="15">
      <c r="A15" s="6" t="s">
        <v>15</v>
      </c>
      <c r="B15" s="67" t="s">
        <v>16</v>
      </c>
      <c r="C15" s="67"/>
      <c r="D15" s="67"/>
      <c r="E15" s="67"/>
      <c r="F15" s="67"/>
      <c r="G15" s="67"/>
      <c r="H15" s="67"/>
    </row>
    <row r="16" spans="1:8" ht="15">
      <c r="A16" s="6" t="s">
        <v>17</v>
      </c>
      <c r="B16" s="67" t="s">
        <v>18</v>
      </c>
      <c r="C16" s="67"/>
      <c r="D16" s="67"/>
      <c r="E16" s="67"/>
      <c r="F16" s="67"/>
      <c r="G16" s="67"/>
      <c r="H16" s="67"/>
    </row>
    <row r="17" spans="1:8" ht="15">
      <c r="A17" s="6" t="s">
        <v>19</v>
      </c>
      <c r="B17" s="67" t="s">
        <v>20</v>
      </c>
      <c r="C17" s="67"/>
      <c r="D17" s="67"/>
      <c r="E17" s="67"/>
      <c r="F17" s="67"/>
      <c r="G17" s="67"/>
      <c r="H17" s="67"/>
    </row>
    <row r="18" spans="1:8" ht="15">
      <c r="A18" s="6" t="s">
        <v>21</v>
      </c>
      <c r="B18" s="67" t="s">
        <v>22</v>
      </c>
      <c r="C18" s="67"/>
      <c r="D18" s="67"/>
      <c r="E18" s="67"/>
      <c r="F18" s="67"/>
      <c r="G18" s="67"/>
      <c r="H18" s="67"/>
    </row>
  </sheetData>
  <mergeCells count="7">
    <mergeCell ref="B17:H17"/>
    <mergeCell ref="B18:H18"/>
    <mergeCell ref="A1:H2"/>
    <mergeCell ref="A4:H4"/>
    <mergeCell ref="A14:H14"/>
    <mergeCell ref="B15:H15"/>
    <mergeCell ref="B16:H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showGridLines="0" workbookViewId="0">
      <selection sqref="A1:J2"/>
    </sheetView>
  </sheetViews>
  <sheetFormatPr defaultRowHeight="14.25"/>
  <cols>
    <col min="1" max="1" width="21" customWidth="1"/>
    <col min="2" max="9" width="15" customWidth="1"/>
    <col min="10" max="10" width="19" customWidth="1"/>
  </cols>
  <sheetData>
    <row r="1" spans="1:10" ht="33.950000000000003" customHeight="1">
      <c r="A1" s="68" t="s">
        <v>23</v>
      </c>
      <c r="B1" s="68" t="s">
        <v>23</v>
      </c>
      <c r="C1" s="68" t="s">
        <v>23</v>
      </c>
      <c r="D1" s="68" t="s">
        <v>23</v>
      </c>
      <c r="E1" s="68" t="s">
        <v>23</v>
      </c>
      <c r="F1" s="68" t="s">
        <v>23</v>
      </c>
      <c r="G1" s="68" t="s">
        <v>23</v>
      </c>
      <c r="H1" s="68" t="s">
        <v>23</v>
      </c>
      <c r="I1" s="68" t="s">
        <v>23</v>
      </c>
      <c r="J1" s="68" t="s">
        <v>23</v>
      </c>
    </row>
    <row r="2" spans="1:10" ht="33.950000000000003" customHeight="1">
      <c r="A2" s="68" t="s">
        <v>23</v>
      </c>
      <c r="B2" s="68" t="s">
        <v>23</v>
      </c>
      <c r="C2" s="68" t="s">
        <v>23</v>
      </c>
      <c r="D2" s="68" t="s">
        <v>23</v>
      </c>
      <c r="E2" s="68" t="s">
        <v>23</v>
      </c>
      <c r="F2" s="68" t="s">
        <v>23</v>
      </c>
      <c r="G2" s="68" t="s">
        <v>23</v>
      </c>
      <c r="H2" s="68" t="s">
        <v>23</v>
      </c>
      <c r="I2" s="68" t="s">
        <v>23</v>
      </c>
      <c r="J2" s="68" t="s">
        <v>23</v>
      </c>
    </row>
    <row r="3" spans="1:10" ht="1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>
      <c r="A4" s="70" t="s">
        <v>24</v>
      </c>
      <c r="B4" s="71"/>
      <c r="C4" s="71"/>
      <c r="D4" s="72"/>
      <c r="E4" s="1"/>
      <c r="F4" s="1"/>
      <c r="G4" s="1"/>
      <c r="H4" s="1"/>
      <c r="I4" s="1"/>
      <c r="J4" s="1"/>
    </row>
    <row r="5" spans="1:10" ht="15">
      <c r="A5" s="7" t="s">
        <v>25</v>
      </c>
      <c r="B5" s="7" t="s">
        <v>26</v>
      </c>
      <c r="C5" s="1"/>
      <c r="D5" s="1"/>
      <c r="E5" s="1"/>
      <c r="F5" s="1"/>
      <c r="G5" s="1"/>
      <c r="H5" s="1"/>
      <c r="I5" s="1"/>
      <c r="J5" s="1"/>
    </row>
    <row r="6" spans="1:10" ht="15">
      <c r="A6" s="8" t="s">
        <v>27</v>
      </c>
      <c r="B6" s="46">
        <f>COUNTIF('Match Results'!$N$6:$N$185,"YES")</f>
        <v>170</v>
      </c>
      <c r="C6" s="1"/>
      <c r="D6" s="1"/>
      <c r="E6" s="1"/>
      <c r="F6" s="1"/>
      <c r="G6" s="1"/>
      <c r="H6" s="1"/>
      <c r="I6" s="1"/>
      <c r="J6" s="1"/>
    </row>
    <row r="7" spans="1:10" ht="15">
      <c r="A7" s="8" t="s">
        <v>28</v>
      </c>
      <c r="B7" s="46">
        <v>180</v>
      </c>
      <c r="C7" s="1"/>
      <c r="D7" s="1"/>
      <c r="E7" s="1"/>
      <c r="F7" s="1"/>
      <c r="G7" s="1"/>
      <c r="H7" s="1"/>
      <c r="I7" s="1"/>
      <c r="J7" s="1"/>
    </row>
    <row r="8" spans="1:10" ht="15">
      <c r="A8" s="8" t="s">
        <v>29</v>
      </c>
      <c r="B8" s="46">
        <f>COUNTA('Player Usage'!$J$6:$J$875)</f>
        <v>0</v>
      </c>
      <c r="C8" s="1"/>
      <c r="D8" s="1"/>
      <c r="E8" s="1"/>
      <c r="F8" s="1"/>
      <c r="G8" s="1"/>
      <c r="H8" s="1"/>
      <c r="I8" s="1"/>
      <c r="J8" s="1"/>
    </row>
    <row r="9" spans="1:10" ht="15">
      <c r="A9" s="8" t="s">
        <v>30</v>
      </c>
      <c r="B9" s="46">
        <f>COUNTIF('Player Usage'!$N$6:$N$875,"VIOLATION")</f>
        <v>0</v>
      </c>
      <c r="C9" s="1"/>
      <c r="D9" s="1"/>
      <c r="E9" s="1"/>
      <c r="F9" s="1"/>
      <c r="G9" s="1"/>
      <c r="H9" s="1"/>
      <c r="I9" s="1"/>
      <c r="J9" s="1"/>
    </row>
    <row r="10" spans="1:10" ht="1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5">
      <c r="A11" s="70" t="s">
        <v>31</v>
      </c>
      <c r="B11" s="71"/>
      <c r="C11" s="71"/>
      <c r="D11" s="71"/>
      <c r="E11" s="71"/>
      <c r="F11" s="71"/>
      <c r="G11" s="71"/>
      <c r="H11" s="71"/>
      <c r="I11" s="71"/>
      <c r="J11" s="72"/>
    </row>
    <row r="12" spans="1:10" ht="30">
      <c r="A12" s="9" t="s">
        <v>32</v>
      </c>
      <c r="B12" s="10" t="s">
        <v>33</v>
      </c>
      <c r="C12" s="10" t="s">
        <v>34</v>
      </c>
      <c r="D12" s="10" t="s">
        <v>35</v>
      </c>
      <c r="E12" s="10" t="s">
        <v>36</v>
      </c>
      <c r="F12" s="10" t="s">
        <v>37</v>
      </c>
      <c r="G12" s="10" t="s">
        <v>38</v>
      </c>
      <c r="H12" s="10" t="s">
        <v>39</v>
      </c>
      <c r="I12" s="10" t="s">
        <v>40</v>
      </c>
      <c r="J12" s="11" t="s">
        <v>41</v>
      </c>
    </row>
    <row r="13" spans="1:10" ht="15">
      <c r="A13" s="12" t="s">
        <v>42</v>
      </c>
      <c r="B13" s="46">
        <f>COUNTIFS('Match Results'!$I$6:$I$185,A13,'Match Results'!$E$6:$E$185,"League",'Match Results'!$J$6:$J$185,"VALID")</f>
        <v>3</v>
      </c>
      <c r="C13" s="46">
        <f>COUNTIFS('Match Results'!$I$6:$I$185,A13,'Match Results'!$E$6:$E$185,"&lt;&gt;League",'Match Results'!$J$6:$J$185,"VALID")</f>
        <v>2</v>
      </c>
      <c r="D13" s="46">
        <f t="shared" ref="D13:D20" si="0">B13+C13</f>
        <v>5</v>
      </c>
      <c r="E13" s="46">
        <f t="shared" ref="E13:E20" si="1">D13*10</f>
        <v>50</v>
      </c>
      <c r="F13" s="46">
        <f>COUNTIFS('Player Usage'!$F$6:$F$875,A13,'Player Usage'!$N$6:$N$875,"VIOLATION")</f>
        <v>0</v>
      </c>
      <c r="G13" s="46">
        <f>-F13*10</f>
        <v>0</v>
      </c>
      <c r="H13" s="46">
        <f t="shared" ref="H13:H20" si="2">E13+G13</f>
        <v>50</v>
      </c>
      <c r="I13" s="46">
        <f>COUNTIFS('Match Results'!$G$6:$G$185,A13,'Match Results'!$N$6:$N$185,"YES")+COUNTIFS('Match Results'!$H$6:$H$185,A13,'Match Results'!$N$6:$N$185,"YES")</f>
        <v>38</v>
      </c>
      <c r="J13" s="13" t="str">
        <f t="shared" ref="J13:J20" si="3">IF(F13=0,"COMPLIANT","REVIEW BREACH")</f>
        <v>COMPLIANT</v>
      </c>
    </row>
    <row r="14" spans="1:10" ht="15">
      <c r="A14" s="12" t="s">
        <v>43</v>
      </c>
      <c r="B14" s="46">
        <f>COUNTIFS('Match Results'!$I$6:$I$185,A14,'Match Results'!$E$6:$E$185,"League",'Match Results'!$J$6:$J$185,"VALID")</f>
        <v>11</v>
      </c>
      <c r="C14" s="46">
        <f>COUNTIFS('Match Results'!$I$6:$I$185,A14,'Match Results'!$E$6:$E$185,"&lt;&gt;League",'Match Results'!$J$6:$J$185,"VALID")</f>
        <v>0</v>
      </c>
      <c r="D14" s="46">
        <f t="shared" si="0"/>
        <v>11</v>
      </c>
      <c r="E14" s="46">
        <f t="shared" si="1"/>
        <v>110</v>
      </c>
      <c r="F14" s="46">
        <f>COUNTIFS('Player Usage'!$F$6:$F$875,A14,'Player Usage'!$N$6:$N$875,"VIOLATION")</f>
        <v>0</v>
      </c>
      <c r="G14" s="46">
        <f t="shared" ref="G14:G20" si="4">-F14*10</f>
        <v>0</v>
      </c>
      <c r="H14" s="46">
        <f t="shared" si="2"/>
        <v>110</v>
      </c>
      <c r="I14" s="46">
        <f>COUNTIFS('Match Results'!$G$6:$G$185,A14,'Match Results'!$N$6:$N$185,"YES")+COUNTIFS('Match Results'!$H$6:$H$185,A14,'Match Results'!$N$6:$N$185,"YES")</f>
        <v>36</v>
      </c>
      <c r="J14" s="13" t="str">
        <f t="shared" si="3"/>
        <v>COMPLIANT</v>
      </c>
    </row>
    <row r="15" spans="1:10" ht="15">
      <c r="A15" s="12" t="s">
        <v>44</v>
      </c>
      <c r="B15" s="46">
        <f>COUNTIFS('Match Results'!$I$6:$I$185,A15,'Match Results'!$E$6:$E$185,"League",'Match Results'!$J$6:$J$185,"VALID")</f>
        <v>23</v>
      </c>
      <c r="C15" s="46">
        <f>COUNTIFS('Match Results'!$I$6:$I$185,A15,'Match Results'!$E$6:$E$185,"&lt;&gt;League",'Match Results'!$J$6:$J$185,"VALID")</f>
        <v>0</v>
      </c>
      <c r="D15" s="46">
        <f t="shared" si="0"/>
        <v>23</v>
      </c>
      <c r="E15" s="46">
        <f t="shared" si="1"/>
        <v>230</v>
      </c>
      <c r="F15" s="46">
        <f>COUNTIFS('Player Usage'!$F$6:$F$875,A15,'Player Usage'!$N$6:$N$875,"VIOLATION")</f>
        <v>0</v>
      </c>
      <c r="G15" s="46">
        <f t="shared" si="4"/>
        <v>0</v>
      </c>
      <c r="H15" s="46">
        <f t="shared" si="2"/>
        <v>230</v>
      </c>
      <c r="I15" s="46">
        <f>COUNTIFS('Match Results'!$G$6:$G$185,A15,'Match Results'!$N$6:$N$185,"YES")+COUNTIFS('Match Results'!$H$6:$H$185,A15,'Match Results'!$N$6:$N$185,"YES")</f>
        <v>47</v>
      </c>
      <c r="J15" s="13" t="str">
        <f t="shared" si="3"/>
        <v>COMPLIANT</v>
      </c>
    </row>
    <row r="16" spans="1:10" ht="15">
      <c r="A16" s="12" t="s">
        <v>45</v>
      </c>
      <c r="B16" s="46">
        <f>COUNTIFS('Match Results'!$I$6:$I$185,A16,'Match Results'!$E$6:$E$185,"League",'Match Results'!$J$6:$J$185,"VALID")</f>
        <v>35</v>
      </c>
      <c r="C16" s="46">
        <f>COUNTIFS('Match Results'!$I$6:$I$185,A16,'Match Results'!$E$6:$E$185,"&lt;&gt;League",'Match Results'!$J$6:$J$185,"VALID")</f>
        <v>0</v>
      </c>
      <c r="D16" s="46">
        <f t="shared" si="0"/>
        <v>35</v>
      </c>
      <c r="E16" s="46">
        <f t="shared" si="1"/>
        <v>350</v>
      </c>
      <c r="F16" s="46">
        <f>COUNTIFS('Player Usage'!$F$6:$F$875,A16,'Player Usage'!$N$6:$N$875,"VIOLATION")</f>
        <v>0</v>
      </c>
      <c r="G16" s="46">
        <f t="shared" si="4"/>
        <v>0</v>
      </c>
      <c r="H16" s="46">
        <f t="shared" si="2"/>
        <v>350</v>
      </c>
      <c r="I16" s="46">
        <f>COUNTIFS('Match Results'!$G$6:$G$185,A16,'Match Results'!$N$6:$N$185,"YES")+COUNTIFS('Match Results'!$H$6:$H$185,A16,'Match Results'!$N$6:$N$185,"YES")</f>
        <v>48</v>
      </c>
      <c r="J16" s="13" t="str">
        <f t="shared" si="3"/>
        <v>COMPLIANT</v>
      </c>
    </row>
    <row r="17" spans="1:10" ht="15">
      <c r="A17" s="12" t="s">
        <v>46</v>
      </c>
      <c r="B17" s="46">
        <f>COUNTIFS('Match Results'!$I$6:$I$185,A17,'Match Results'!$E$6:$E$185,"League",'Match Results'!$J$6:$J$185,"VALID")</f>
        <v>0</v>
      </c>
      <c r="C17" s="46">
        <f>COUNTIFS('Match Results'!$I$6:$I$185,A17,'Match Results'!$E$6:$E$185,"&lt;&gt;League",'Match Results'!$J$6:$J$185,"VALID")</f>
        <v>0</v>
      </c>
      <c r="D17" s="46">
        <f t="shared" si="0"/>
        <v>0</v>
      </c>
      <c r="E17" s="46">
        <f t="shared" si="1"/>
        <v>0</v>
      </c>
      <c r="F17" s="46">
        <f>COUNTIFS('Player Usage'!$F$6:$F$875,A17,'Player Usage'!$N$6:$N$875,"VIOLATION")</f>
        <v>0</v>
      </c>
      <c r="G17" s="46">
        <f t="shared" si="4"/>
        <v>0</v>
      </c>
      <c r="H17" s="46">
        <f t="shared" si="2"/>
        <v>0</v>
      </c>
      <c r="I17" s="46">
        <f>COUNTIFS('Match Results'!$G$6:$G$185,A17,'Match Results'!$N$6:$N$185,"YES")+COUNTIFS('Match Results'!$H$6:$H$185,A17,'Match Results'!$N$6:$N$185,"YES")</f>
        <v>36</v>
      </c>
      <c r="J17" s="13" t="str">
        <f t="shared" si="3"/>
        <v>COMPLIANT</v>
      </c>
    </row>
    <row r="18" spans="1:10" ht="15">
      <c r="A18" s="12" t="s">
        <v>47</v>
      </c>
      <c r="B18" s="46">
        <f>COUNTIFS('Match Results'!$I$6:$I$185,A18,'Match Results'!$E$6:$E$185,"League",'Match Results'!$J$6:$J$185,"VALID")</f>
        <v>12</v>
      </c>
      <c r="C18" s="46">
        <f>COUNTIFS('Match Results'!$I$6:$I$185,A18,'Match Results'!$E$6:$E$185,"&lt;&gt;League",'Match Results'!$J$6:$J$185,"VALID")</f>
        <v>0</v>
      </c>
      <c r="D18" s="46">
        <f t="shared" si="0"/>
        <v>12</v>
      </c>
      <c r="E18" s="46">
        <f t="shared" si="1"/>
        <v>120</v>
      </c>
      <c r="F18" s="46">
        <f>COUNTIFS('Player Usage'!$F$6:$F$875,A18,'Player Usage'!$N$6:$N$875,"VIOLATION")</f>
        <v>0</v>
      </c>
      <c r="G18" s="46">
        <f t="shared" si="4"/>
        <v>0</v>
      </c>
      <c r="H18" s="46">
        <f t="shared" si="2"/>
        <v>120</v>
      </c>
      <c r="I18" s="46">
        <f>COUNTIFS('Match Results'!$G$6:$G$185,A18,'Match Results'!$N$6:$N$185,"YES")+COUNTIFS('Match Results'!$H$6:$H$185,A18,'Match Results'!$N$6:$N$185,"YES")</f>
        <v>36</v>
      </c>
      <c r="J18" s="13" t="str">
        <f t="shared" si="3"/>
        <v>COMPLIANT</v>
      </c>
    </row>
    <row r="19" spans="1:10" ht="15">
      <c r="A19" s="12" t="s">
        <v>48</v>
      </c>
      <c r="B19" s="46">
        <f>COUNTIFS('Match Results'!$I$6:$I$185,A19,'Match Results'!$E$6:$E$185,"League",'Match Results'!$J$6:$J$185,"VALID")</f>
        <v>24</v>
      </c>
      <c r="C19" s="46">
        <f>COUNTIFS('Match Results'!$I$6:$I$185,A19,'Match Results'!$E$6:$E$185,"&lt;&gt;League",'Match Results'!$J$6:$J$185,"VALID")</f>
        <v>11</v>
      </c>
      <c r="D19" s="46">
        <f t="shared" si="0"/>
        <v>35</v>
      </c>
      <c r="E19" s="46">
        <f t="shared" si="1"/>
        <v>350</v>
      </c>
      <c r="F19" s="46">
        <f>COUNTIFS('Player Usage'!$F$6:$F$875,A19,'Player Usage'!$N$6:$N$875,"VIOLATION")</f>
        <v>0</v>
      </c>
      <c r="G19" s="46">
        <f t="shared" si="4"/>
        <v>0</v>
      </c>
      <c r="H19" s="46">
        <f t="shared" si="2"/>
        <v>350</v>
      </c>
      <c r="I19" s="46">
        <f>COUNTIFS('Match Results'!$G$6:$G$185,A19,'Match Results'!$N$6:$N$185,"YES")+COUNTIFS('Match Results'!$H$6:$H$185,A19,'Match Results'!$N$6:$N$185,"YES")</f>
        <v>49</v>
      </c>
      <c r="J19" s="13" t="str">
        <f t="shared" si="3"/>
        <v>COMPLIANT</v>
      </c>
    </row>
    <row r="20" spans="1:10" ht="15">
      <c r="A20" s="14" t="s">
        <v>49</v>
      </c>
      <c r="B20" s="47">
        <f>COUNTIFS('Match Results'!$I$6:$I$185,A20,'Match Results'!$E$6:$E$185,"League",'Match Results'!$J$6:$J$185,"VALID")</f>
        <v>36</v>
      </c>
      <c r="C20" s="47">
        <f>COUNTIFS('Match Results'!$I$6:$I$185,A20,'Match Results'!$E$6:$E$185,"&lt;&gt;League",'Match Results'!$J$6:$J$185,"VALID")</f>
        <v>13</v>
      </c>
      <c r="D20" s="47">
        <f t="shared" si="0"/>
        <v>49</v>
      </c>
      <c r="E20" s="47">
        <f t="shared" si="1"/>
        <v>490</v>
      </c>
      <c r="F20" s="47">
        <f>COUNTIFS('Player Usage'!$F$6:$F$875,A20,'Player Usage'!$N$6:$N$875,"VIOLATION")</f>
        <v>0</v>
      </c>
      <c r="G20" s="46">
        <f t="shared" si="4"/>
        <v>0</v>
      </c>
      <c r="H20" s="47">
        <f t="shared" si="2"/>
        <v>490</v>
      </c>
      <c r="I20" s="47">
        <f>COUNTIFS('Match Results'!$G$6:$G$185,A20,'Match Results'!$N$6:$N$185,"YES")+COUNTIFS('Match Results'!$H$6:$H$185,A20,'Match Results'!$N$6:$N$185,"YES")</f>
        <v>50</v>
      </c>
      <c r="J20" s="15" t="str">
        <f t="shared" si="3"/>
        <v>COMPLIANT</v>
      </c>
    </row>
    <row r="21" spans="1:10" ht="1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">
      <c r="A22" s="70" t="s">
        <v>50</v>
      </c>
      <c r="B22" s="71"/>
      <c r="C22" s="71"/>
      <c r="D22" s="71"/>
      <c r="E22" s="71"/>
      <c r="F22" s="71"/>
      <c r="G22" s="71"/>
      <c r="H22" s="71"/>
      <c r="I22" s="71"/>
      <c r="J22" s="72"/>
    </row>
    <row r="23" spans="1:10" ht="15">
      <c r="A23" s="7" t="s">
        <v>51</v>
      </c>
      <c r="B23" s="7" t="s">
        <v>52</v>
      </c>
      <c r="C23" s="7" t="s">
        <v>53</v>
      </c>
      <c r="D23" s="7" t="s">
        <v>41</v>
      </c>
      <c r="E23" s="1"/>
      <c r="F23" s="1"/>
      <c r="G23" s="1"/>
      <c r="H23" s="1"/>
      <c r="I23" s="1"/>
      <c r="J23" s="1"/>
    </row>
    <row r="24" spans="1:10" ht="15">
      <c r="A24" s="8" t="s">
        <v>54</v>
      </c>
      <c r="B24" s="8">
        <f>COUNTIF('Match Results'!$J$6:$J$185,"CHECK WINNER")</f>
        <v>0</v>
      </c>
      <c r="C24" s="8">
        <v>0</v>
      </c>
      <c r="D24" s="8" t="str">
        <f>IF(B24=C24,"OK","ACTION NEEDED")</f>
        <v>OK</v>
      </c>
      <c r="E24" s="1"/>
      <c r="F24" s="1"/>
      <c r="G24" s="1"/>
      <c r="H24" s="1"/>
      <c r="I24" s="1"/>
      <c r="J24" s="1"/>
    </row>
    <row r="25" spans="1:10" ht="15">
      <c r="A25" s="8" t="s">
        <v>55</v>
      </c>
      <c r="B25" s="8">
        <f>COUNTIF('Player Usage'!$L$6:$L$875,"CHECK ROSTER")</f>
        <v>0</v>
      </c>
      <c r="C25" s="8">
        <v>0</v>
      </c>
      <c r="D25" s="8" t="str">
        <f>IF(B25=C25,"OK","ACTION NEEDED")</f>
        <v>OK</v>
      </c>
      <c r="E25" s="1"/>
      <c r="F25" s="1"/>
      <c r="G25" s="1"/>
      <c r="H25" s="1"/>
      <c r="I25" s="1"/>
      <c r="J25" s="1"/>
    </row>
    <row r="26" spans="1:10" ht="15">
      <c r="A26" s="8" t="s">
        <v>56</v>
      </c>
      <c r="B26" s="8">
        <f>COUNTIF('Player Usage'!$N$6:$N$875,"VIOLATION")</f>
        <v>0</v>
      </c>
      <c r="C26" s="8">
        <v>0</v>
      </c>
      <c r="D26" s="8" t="str">
        <f>IF(B26=C26,"OK","ACTION NEEDED")</f>
        <v>OK</v>
      </c>
      <c r="E26" s="1"/>
      <c r="F26" s="1"/>
      <c r="G26" s="1"/>
      <c r="H26" s="1"/>
      <c r="I26" s="1"/>
      <c r="J26" s="1"/>
    </row>
    <row r="27" spans="1:10" ht="15">
      <c r="A27" s="8" t="s">
        <v>536</v>
      </c>
      <c r="B27" s="8">
        <f>COUNTBLANK('Match Results'!$G$150:$G$185)+COUNTBLANK('Match Results'!$H$150:$H$185)</f>
        <v>0</v>
      </c>
      <c r="C27" s="8">
        <v>0</v>
      </c>
      <c r="D27" s="8" t="str">
        <f>IF(B27=C27,"OK","ACTION NEEDED")</f>
        <v>OK</v>
      </c>
      <c r="E27" s="1"/>
      <c r="F27" s="1"/>
      <c r="G27" s="1"/>
      <c r="H27" s="1"/>
      <c r="I27" s="1"/>
      <c r="J27" s="1"/>
    </row>
  </sheetData>
  <mergeCells count="4">
    <mergeCell ref="A1:J2"/>
    <mergeCell ref="A4:D4"/>
    <mergeCell ref="A11:J11"/>
    <mergeCell ref="A22:J22"/>
  </mergeCells>
  <conditionalFormatting sqref="D24:D27">
    <cfRule type="containsText" dxfId="11" priority="3" operator="containsText" text="OK"/>
    <cfRule type="containsText" dxfId="10" priority="4" operator="containsText" text="ACTION"/>
  </conditionalFormatting>
  <conditionalFormatting sqref="J13:J20">
    <cfRule type="containsText" dxfId="9" priority="1" operator="containsText" text="COMPLIANT"/>
    <cfRule type="containsText" dxfId="8" priority="2" operator="containsText" text="REVIEW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5"/>
  <sheetViews>
    <sheetView showGridLines="0" topLeftCell="A175" workbookViewId="0">
      <selection sqref="A1:E2"/>
    </sheetView>
  </sheetViews>
  <sheetFormatPr defaultRowHeight="14.25"/>
  <cols>
    <col min="1" max="1" width="11" customWidth="1"/>
    <col min="2" max="2" width="16" customWidth="1"/>
    <col min="3" max="3" width="27" customWidth="1"/>
    <col min="4" max="4" width="16" customWidth="1"/>
    <col min="5" max="5" width="28" customWidth="1"/>
  </cols>
  <sheetData>
    <row r="1" spans="1:5" ht="33.950000000000003" customHeight="1">
      <c r="A1" s="68" t="s">
        <v>57</v>
      </c>
      <c r="B1" s="68" t="s">
        <v>57</v>
      </c>
      <c r="C1" s="68" t="s">
        <v>57</v>
      </c>
      <c r="D1" s="68" t="s">
        <v>57</v>
      </c>
      <c r="E1" s="68" t="s">
        <v>57</v>
      </c>
    </row>
    <row r="2" spans="1:5" ht="33.950000000000003" customHeight="1">
      <c r="A2" s="68" t="s">
        <v>57</v>
      </c>
      <c r="B2" s="68" t="s">
        <v>57</v>
      </c>
      <c r="C2" s="68" t="s">
        <v>57</v>
      </c>
      <c r="D2" s="68" t="s">
        <v>57</v>
      </c>
      <c r="E2" s="68" t="s">
        <v>57</v>
      </c>
    </row>
    <row r="3" spans="1:5" ht="15">
      <c r="A3" s="73" t="s">
        <v>58</v>
      </c>
      <c r="B3" s="73"/>
      <c r="C3" s="73"/>
      <c r="D3" s="73"/>
      <c r="E3" s="73"/>
    </row>
    <row r="4" spans="1:5" ht="15">
      <c r="A4" s="1"/>
      <c r="B4" s="1"/>
      <c r="C4" s="1"/>
      <c r="D4" s="1"/>
      <c r="E4" s="1"/>
    </row>
    <row r="5" spans="1:5" ht="15">
      <c r="A5" s="16" t="s">
        <v>32</v>
      </c>
      <c r="B5" s="17" t="s">
        <v>59</v>
      </c>
      <c r="C5" s="17" t="s">
        <v>60</v>
      </c>
      <c r="D5" s="17" t="s">
        <v>61</v>
      </c>
      <c r="E5" s="18" t="s">
        <v>62</v>
      </c>
    </row>
    <row r="6" spans="1:5" ht="15">
      <c r="A6" s="19" t="s">
        <v>42</v>
      </c>
      <c r="B6" s="20" t="s">
        <v>63</v>
      </c>
      <c r="C6" s="21" t="s">
        <v>64</v>
      </c>
      <c r="D6" s="21" t="s">
        <v>65</v>
      </c>
      <c r="E6" s="22" t="s">
        <v>66</v>
      </c>
    </row>
    <row r="7" spans="1:5" ht="15">
      <c r="A7" s="19" t="s">
        <v>42</v>
      </c>
      <c r="B7" s="20" t="s">
        <v>67</v>
      </c>
      <c r="C7" s="21" t="s">
        <v>68</v>
      </c>
      <c r="D7" s="21" t="s">
        <v>65</v>
      </c>
      <c r="E7" s="22"/>
    </row>
    <row r="8" spans="1:5" ht="15">
      <c r="A8" s="19" t="s">
        <v>42</v>
      </c>
      <c r="B8" s="20" t="s">
        <v>69</v>
      </c>
      <c r="C8" s="21" t="s">
        <v>70</v>
      </c>
      <c r="D8" s="21" t="s">
        <v>65</v>
      </c>
      <c r="E8" s="22"/>
    </row>
    <row r="9" spans="1:5" ht="15">
      <c r="A9" s="19" t="s">
        <v>42</v>
      </c>
      <c r="B9" s="20" t="s">
        <v>71</v>
      </c>
      <c r="C9" s="21" t="s">
        <v>72</v>
      </c>
      <c r="D9" s="21" t="s">
        <v>65</v>
      </c>
      <c r="E9" s="22"/>
    </row>
    <row r="10" spans="1:5" ht="15">
      <c r="A10" s="19" t="s">
        <v>42</v>
      </c>
      <c r="B10" s="20" t="s">
        <v>73</v>
      </c>
      <c r="C10" s="21" t="s">
        <v>74</v>
      </c>
      <c r="D10" s="21" t="s">
        <v>65</v>
      </c>
      <c r="E10" s="22"/>
    </row>
    <row r="11" spans="1:5" ht="15">
      <c r="A11" s="19" t="s">
        <v>42</v>
      </c>
      <c r="B11" s="20" t="s">
        <v>75</v>
      </c>
      <c r="C11" s="21" t="s">
        <v>76</v>
      </c>
      <c r="D11" s="21" t="s">
        <v>65</v>
      </c>
      <c r="E11" s="22"/>
    </row>
    <row r="12" spans="1:5" ht="15">
      <c r="A12" s="19" t="s">
        <v>42</v>
      </c>
      <c r="B12" s="20" t="s">
        <v>77</v>
      </c>
      <c r="C12" s="21" t="s">
        <v>78</v>
      </c>
      <c r="D12" s="21" t="s">
        <v>65</v>
      </c>
      <c r="E12" s="22"/>
    </row>
    <row r="13" spans="1:5" ht="15">
      <c r="A13" s="19" t="s">
        <v>42</v>
      </c>
      <c r="B13" s="20" t="s">
        <v>79</v>
      </c>
      <c r="C13" s="21" t="s">
        <v>80</v>
      </c>
      <c r="D13" s="21" t="s">
        <v>65</v>
      </c>
      <c r="E13" s="22"/>
    </row>
    <row r="14" spans="1:5" ht="15">
      <c r="A14" s="19" t="s">
        <v>42</v>
      </c>
      <c r="B14" s="20" t="s">
        <v>81</v>
      </c>
      <c r="C14" s="21" t="s">
        <v>82</v>
      </c>
      <c r="D14" s="21" t="s">
        <v>65</v>
      </c>
      <c r="E14" s="22"/>
    </row>
    <row r="15" spans="1:5" ht="15">
      <c r="A15" s="19" t="s">
        <v>42</v>
      </c>
      <c r="B15" s="20" t="s">
        <v>83</v>
      </c>
      <c r="C15" s="21" t="s">
        <v>84</v>
      </c>
      <c r="D15" s="21" t="s">
        <v>65</v>
      </c>
      <c r="E15" s="22"/>
    </row>
    <row r="16" spans="1:5" ht="15">
      <c r="A16" s="19" t="s">
        <v>42</v>
      </c>
      <c r="B16" s="20" t="s">
        <v>85</v>
      </c>
      <c r="C16" s="21" t="s">
        <v>86</v>
      </c>
      <c r="D16" s="21" t="s">
        <v>65</v>
      </c>
      <c r="E16" s="22"/>
    </row>
    <row r="17" spans="1:5" ht="15">
      <c r="A17" s="19" t="s">
        <v>42</v>
      </c>
      <c r="B17" s="20" t="s">
        <v>87</v>
      </c>
      <c r="C17" s="21" t="s">
        <v>88</v>
      </c>
      <c r="D17" s="21" t="s">
        <v>65</v>
      </c>
      <c r="E17" s="22"/>
    </row>
    <row r="18" spans="1:5" ht="15">
      <c r="A18" s="19" t="s">
        <v>42</v>
      </c>
      <c r="B18" s="20" t="s">
        <v>89</v>
      </c>
      <c r="C18" s="21" t="s">
        <v>90</v>
      </c>
      <c r="D18" s="21" t="s">
        <v>65</v>
      </c>
      <c r="E18" s="22"/>
    </row>
    <row r="19" spans="1:5" ht="15">
      <c r="A19" s="19" t="s">
        <v>42</v>
      </c>
      <c r="B19" s="20" t="s">
        <v>91</v>
      </c>
      <c r="C19" s="21" t="s">
        <v>92</v>
      </c>
      <c r="D19" s="21" t="s">
        <v>65</v>
      </c>
      <c r="E19" s="22"/>
    </row>
    <row r="20" spans="1:5" ht="15">
      <c r="A20" s="19" t="s">
        <v>42</v>
      </c>
      <c r="B20" s="20" t="s">
        <v>93</v>
      </c>
      <c r="C20" s="21" t="s">
        <v>94</v>
      </c>
      <c r="D20" s="21" t="s">
        <v>65</v>
      </c>
      <c r="E20" s="22"/>
    </row>
    <row r="21" spans="1:5" ht="15">
      <c r="A21" s="19" t="s">
        <v>42</v>
      </c>
      <c r="B21" s="20" t="s">
        <v>95</v>
      </c>
      <c r="C21" s="21" t="s">
        <v>96</v>
      </c>
      <c r="D21" s="21" t="s">
        <v>97</v>
      </c>
      <c r="E21" s="22" t="s">
        <v>98</v>
      </c>
    </row>
    <row r="22" spans="1:5" ht="15">
      <c r="A22" s="19" t="s">
        <v>42</v>
      </c>
      <c r="B22" s="20" t="s">
        <v>99</v>
      </c>
      <c r="C22" s="21" t="s">
        <v>100</v>
      </c>
      <c r="D22" s="21" t="s">
        <v>97</v>
      </c>
      <c r="E22" s="22"/>
    </row>
    <row r="23" spans="1:5" ht="15">
      <c r="A23" s="19" t="s">
        <v>42</v>
      </c>
      <c r="B23" s="20" t="s">
        <v>101</v>
      </c>
      <c r="C23" s="21" t="s">
        <v>102</v>
      </c>
      <c r="D23" s="21" t="s">
        <v>97</v>
      </c>
      <c r="E23" s="22"/>
    </row>
    <row r="24" spans="1:5" ht="15">
      <c r="A24" s="19" t="s">
        <v>42</v>
      </c>
      <c r="B24" s="20" t="s">
        <v>103</v>
      </c>
      <c r="C24" s="21" t="s">
        <v>104</v>
      </c>
      <c r="D24" s="21" t="s">
        <v>97</v>
      </c>
      <c r="E24" s="22"/>
    </row>
    <row r="25" spans="1:5" ht="15">
      <c r="A25" s="19" t="s">
        <v>42</v>
      </c>
      <c r="B25" s="20" t="s">
        <v>105</v>
      </c>
      <c r="C25" s="21" t="s">
        <v>106</v>
      </c>
      <c r="D25" s="21" t="s">
        <v>97</v>
      </c>
      <c r="E25" s="22"/>
    </row>
    <row r="26" spans="1:5" ht="15">
      <c r="A26" s="19" t="s">
        <v>42</v>
      </c>
      <c r="B26" s="20" t="s">
        <v>107</v>
      </c>
      <c r="C26" s="21" t="s">
        <v>108</v>
      </c>
      <c r="D26" s="21" t="s">
        <v>97</v>
      </c>
      <c r="E26" s="22"/>
    </row>
    <row r="27" spans="1:5" ht="15">
      <c r="A27" s="19" t="s">
        <v>42</v>
      </c>
      <c r="B27" s="20" t="s">
        <v>109</v>
      </c>
      <c r="C27" s="21" t="s">
        <v>110</v>
      </c>
      <c r="D27" s="21" t="s">
        <v>97</v>
      </c>
      <c r="E27" s="22"/>
    </row>
    <row r="28" spans="1:5" ht="15">
      <c r="A28" s="19" t="s">
        <v>42</v>
      </c>
      <c r="B28" s="20" t="s">
        <v>111</v>
      </c>
      <c r="C28" s="21" t="s">
        <v>112</v>
      </c>
      <c r="D28" s="21" t="s">
        <v>97</v>
      </c>
      <c r="E28" s="22"/>
    </row>
    <row r="29" spans="1:5" ht="15">
      <c r="A29" s="19" t="s">
        <v>42</v>
      </c>
      <c r="B29" s="20" t="s">
        <v>113</v>
      </c>
      <c r="C29" s="21" t="s">
        <v>114</v>
      </c>
      <c r="D29" s="21" t="s">
        <v>65</v>
      </c>
      <c r="E29" s="22"/>
    </row>
    <row r="30" spans="1:5" ht="15">
      <c r="A30" s="19" t="s">
        <v>42</v>
      </c>
      <c r="B30" s="20" t="s">
        <v>115</v>
      </c>
      <c r="C30" s="21"/>
      <c r="D30" s="21"/>
      <c r="E30" s="22"/>
    </row>
    <row r="31" spans="1:5" ht="15">
      <c r="A31" s="19" t="s">
        <v>43</v>
      </c>
      <c r="B31" s="20" t="s">
        <v>116</v>
      </c>
      <c r="C31" s="21" t="s">
        <v>117</v>
      </c>
      <c r="D31" s="21" t="s">
        <v>65</v>
      </c>
      <c r="E31" s="22" t="s">
        <v>66</v>
      </c>
    </row>
    <row r="32" spans="1:5" ht="15">
      <c r="A32" s="19" t="s">
        <v>43</v>
      </c>
      <c r="B32" s="20" t="s">
        <v>118</v>
      </c>
      <c r="C32" s="21" t="s">
        <v>119</v>
      </c>
      <c r="D32" s="21" t="s">
        <v>65</v>
      </c>
      <c r="E32" s="22"/>
    </row>
    <row r="33" spans="1:5" ht="15">
      <c r="A33" s="19" t="s">
        <v>43</v>
      </c>
      <c r="B33" s="20" t="s">
        <v>120</v>
      </c>
      <c r="C33" s="21" t="s">
        <v>121</v>
      </c>
      <c r="D33" s="21" t="s">
        <v>65</v>
      </c>
      <c r="E33" s="22"/>
    </row>
    <row r="34" spans="1:5" ht="15">
      <c r="A34" s="19" t="s">
        <v>43</v>
      </c>
      <c r="B34" s="20" t="s">
        <v>122</v>
      </c>
      <c r="C34" s="21" t="s">
        <v>123</v>
      </c>
      <c r="D34" s="21" t="s">
        <v>65</v>
      </c>
      <c r="E34" s="22"/>
    </row>
    <row r="35" spans="1:5" ht="15">
      <c r="A35" s="19" t="s">
        <v>43</v>
      </c>
      <c r="B35" s="20" t="s">
        <v>124</v>
      </c>
      <c r="C35" s="21" t="s">
        <v>125</v>
      </c>
      <c r="D35" s="21" t="s">
        <v>65</v>
      </c>
      <c r="E35" s="22"/>
    </row>
    <row r="36" spans="1:5" ht="15">
      <c r="A36" s="19" t="s">
        <v>43</v>
      </c>
      <c r="B36" s="20" t="s">
        <v>126</v>
      </c>
      <c r="C36" s="21" t="s">
        <v>127</v>
      </c>
      <c r="D36" s="21" t="s">
        <v>65</v>
      </c>
      <c r="E36" s="22"/>
    </row>
    <row r="37" spans="1:5" ht="15">
      <c r="A37" s="19" t="s">
        <v>43</v>
      </c>
      <c r="B37" s="20" t="s">
        <v>128</v>
      </c>
      <c r="C37" s="21" t="s">
        <v>129</v>
      </c>
      <c r="D37" s="21" t="s">
        <v>65</v>
      </c>
      <c r="E37" s="22"/>
    </row>
    <row r="38" spans="1:5" ht="15">
      <c r="A38" s="19" t="s">
        <v>43</v>
      </c>
      <c r="B38" s="20" t="s">
        <v>130</v>
      </c>
      <c r="C38" s="21" t="s">
        <v>131</v>
      </c>
      <c r="D38" s="21" t="s">
        <v>65</v>
      </c>
      <c r="E38" s="22"/>
    </row>
    <row r="39" spans="1:5" ht="15">
      <c r="A39" s="19" t="s">
        <v>43</v>
      </c>
      <c r="B39" s="20" t="s">
        <v>132</v>
      </c>
      <c r="C39" s="21" t="s">
        <v>133</v>
      </c>
      <c r="D39" s="21" t="s">
        <v>65</v>
      </c>
      <c r="E39" s="22"/>
    </row>
    <row r="40" spans="1:5" ht="15">
      <c r="A40" s="19" t="s">
        <v>43</v>
      </c>
      <c r="B40" s="20" t="s">
        <v>134</v>
      </c>
      <c r="C40" s="21" t="s">
        <v>135</v>
      </c>
      <c r="D40" s="21" t="s">
        <v>65</v>
      </c>
      <c r="E40" s="22"/>
    </row>
    <row r="41" spans="1:5" ht="15">
      <c r="A41" s="19" t="s">
        <v>43</v>
      </c>
      <c r="B41" s="20" t="s">
        <v>136</v>
      </c>
      <c r="C41" s="21" t="s">
        <v>137</v>
      </c>
      <c r="D41" s="21" t="s">
        <v>65</v>
      </c>
      <c r="E41" s="22"/>
    </row>
    <row r="42" spans="1:5" ht="15">
      <c r="A42" s="19" t="s">
        <v>43</v>
      </c>
      <c r="B42" s="20" t="s">
        <v>138</v>
      </c>
      <c r="C42" s="21" t="s">
        <v>139</v>
      </c>
      <c r="D42" s="21" t="s">
        <v>65</v>
      </c>
      <c r="E42" s="22"/>
    </row>
    <row r="43" spans="1:5" ht="15">
      <c r="A43" s="19" t="s">
        <v>43</v>
      </c>
      <c r="B43" s="20" t="s">
        <v>140</v>
      </c>
      <c r="C43" s="21" t="s">
        <v>141</v>
      </c>
      <c r="D43" s="21" t="s">
        <v>65</v>
      </c>
      <c r="E43" s="22"/>
    </row>
    <row r="44" spans="1:5" ht="15">
      <c r="A44" s="19" t="s">
        <v>43</v>
      </c>
      <c r="B44" s="20" t="s">
        <v>142</v>
      </c>
      <c r="C44" s="21" t="s">
        <v>143</v>
      </c>
      <c r="D44" s="21" t="s">
        <v>65</v>
      </c>
      <c r="E44" s="22"/>
    </row>
    <row r="45" spans="1:5" ht="15">
      <c r="A45" s="19" t="s">
        <v>43</v>
      </c>
      <c r="B45" s="20" t="s">
        <v>144</v>
      </c>
      <c r="C45" s="21" t="s">
        <v>145</v>
      </c>
      <c r="D45" s="21" t="s">
        <v>65</v>
      </c>
      <c r="E45" s="22"/>
    </row>
    <row r="46" spans="1:5" ht="15">
      <c r="A46" s="19" t="s">
        <v>43</v>
      </c>
      <c r="B46" s="20" t="s">
        <v>146</v>
      </c>
      <c r="C46" s="21" t="s">
        <v>147</v>
      </c>
      <c r="D46" s="21" t="s">
        <v>97</v>
      </c>
      <c r="E46" s="22" t="s">
        <v>98</v>
      </c>
    </row>
    <row r="47" spans="1:5" ht="15">
      <c r="A47" s="19" t="s">
        <v>43</v>
      </c>
      <c r="B47" s="20" t="s">
        <v>148</v>
      </c>
      <c r="C47" s="21" t="s">
        <v>149</v>
      </c>
      <c r="D47" s="21" t="s">
        <v>97</v>
      </c>
      <c r="E47" s="22"/>
    </row>
    <row r="48" spans="1:5" ht="15">
      <c r="A48" s="19" t="s">
        <v>43</v>
      </c>
      <c r="B48" s="20" t="s">
        <v>150</v>
      </c>
      <c r="C48" s="21" t="s">
        <v>151</v>
      </c>
      <c r="D48" s="21" t="s">
        <v>97</v>
      </c>
      <c r="E48" s="22"/>
    </row>
    <row r="49" spans="1:5" ht="15">
      <c r="A49" s="19" t="s">
        <v>43</v>
      </c>
      <c r="B49" s="20" t="s">
        <v>152</v>
      </c>
      <c r="C49" s="21" t="s">
        <v>153</v>
      </c>
      <c r="D49" s="21" t="s">
        <v>97</v>
      </c>
      <c r="E49" s="22"/>
    </row>
    <row r="50" spans="1:5" ht="15">
      <c r="A50" s="19" t="s">
        <v>43</v>
      </c>
      <c r="B50" s="20" t="s">
        <v>154</v>
      </c>
      <c r="C50" s="21" t="s">
        <v>155</v>
      </c>
      <c r="D50" s="21" t="s">
        <v>97</v>
      </c>
      <c r="E50" s="22"/>
    </row>
    <row r="51" spans="1:5" ht="15">
      <c r="A51" s="19" t="s">
        <v>43</v>
      </c>
      <c r="B51" s="20" t="s">
        <v>156</v>
      </c>
      <c r="C51" s="21" t="s">
        <v>157</v>
      </c>
      <c r="D51" s="21" t="s">
        <v>97</v>
      </c>
      <c r="E51" s="22"/>
    </row>
    <row r="52" spans="1:5" ht="15">
      <c r="A52" s="19" t="s">
        <v>43</v>
      </c>
      <c r="B52" s="20" t="s">
        <v>158</v>
      </c>
      <c r="C52" s="21" t="s">
        <v>159</v>
      </c>
      <c r="D52" s="21" t="s">
        <v>97</v>
      </c>
      <c r="E52" s="22"/>
    </row>
    <row r="53" spans="1:5" ht="15">
      <c r="A53" s="19" t="s">
        <v>43</v>
      </c>
      <c r="B53" s="20" t="s">
        <v>160</v>
      </c>
      <c r="C53" s="21" t="s">
        <v>161</v>
      </c>
      <c r="D53" s="21" t="s">
        <v>97</v>
      </c>
      <c r="E53" s="22"/>
    </row>
    <row r="54" spans="1:5" ht="15">
      <c r="A54" s="19" t="s">
        <v>43</v>
      </c>
      <c r="B54" s="20" t="s">
        <v>162</v>
      </c>
      <c r="C54" s="21" t="s">
        <v>163</v>
      </c>
      <c r="D54" s="21" t="s">
        <v>65</v>
      </c>
      <c r="E54" s="22"/>
    </row>
    <row r="55" spans="1:5" ht="15">
      <c r="A55" s="19" t="s">
        <v>43</v>
      </c>
      <c r="B55" s="20" t="s">
        <v>164</v>
      </c>
      <c r="C55" s="21"/>
      <c r="D55" s="21"/>
      <c r="E55" s="22"/>
    </row>
    <row r="56" spans="1:5" ht="15">
      <c r="A56" s="19" t="s">
        <v>44</v>
      </c>
      <c r="B56" s="20" t="s">
        <v>165</v>
      </c>
      <c r="C56" s="21" t="s">
        <v>166</v>
      </c>
      <c r="D56" s="21" t="s">
        <v>65</v>
      </c>
      <c r="E56" s="22"/>
    </row>
    <row r="57" spans="1:5" ht="15">
      <c r="A57" s="19" t="s">
        <v>44</v>
      </c>
      <c r="B57" s="20" t="s">
        <v>167</v>
      </c>
      <c r="C57" s="21" t="s">
        <v>168</v>
      </c>
      <c r="D57" s="21" t="s">
        <v>65</v>
      </c>
      <c r="E57" s="22"/>
    </row>
    <row r="58" spans="1:5" ht="15">
      <c r="A58" s="19" t="s">
        <v>44</v>
      </c>
      <c r="B58" s="20" t="s">
        <v>169</v>
      </c>
      <c r="C58" s="21" t="s">
        <v>170</v>
      </c>
      <c r="D58" s="21" t="s">
        <v>65</v>
      </c>
      <c r="E58" s="22"/>
    </row>
    <row r="59" spans="1:5" ht="15">
      <c r="A59" s="19" t="s">
        <v>44</v>
      </c>
      <c r="B59" s="20" t="s">
        <v>171</v>
      </c>
      <c r="C59" s="21" t="s">
        <v>172</v>
      </c>
      <c r="D59" s="21" t="s">
        <v>65</v>
      </c>
      <c r="E59" s="22"/>
    </row>
    <row r="60" spans="1:5" ht="15">
      <c r="A60" s="19" t="s">
        <v>44</v>
      </c>
      <c r="B60" s="20" t="s">
        <v>173</v>
      </c>
      <c r="C60" s="21" t="s">
        <v>174</v>
      </c>
      <c r="D60" s="21" t="s">
        <v>65</v>
      </c>
      <c r="E60" s="22"/>
    </row>
    <row r="61" spans="1:5" ht="15">
      <c r="A61" s="19" t="s">
        <v>44</v>
      </c>
      <c r="B61" s="20" t="s">
        <v>175</v>
      </c>
      <c r="C61" s="21" t="s">
        <v>176</v>
      </c>
      <c r="D61" s="21" t="s">
        <v>65</v>
      </c>
      <c r="E61" s="22"/>
    </row>
    <row r="62" spans="1:5" ht="15">
      <c r="A62" s="19" t="s">
        <v>44</v>
      </c>
      <c r="B62" s="20" t="s">
        <v>177</v>
      </c>
      <c r="C62" s="21" t="s">
        <v>178</v>
      </c>
      <c r="D62" s="21" t="s">
        <v>65</v>
      </c>
      <c r="E62" s="22"/>
    </row>
    <row r="63" spans="1:5" ht="15">
      <c r="A63" s="19" t="s">
        <v>44</v>
      </c>
      <c r="B63" s="20" t="s">
        <v>179</v>
      </c>
      <c r="C63" s="21" t="s">
        <v>180</v>
      </c>
      <c r="D63" s="21" t="s">
        <v>65</v>
      </c>
      <c r="E63" s="22"/>
    </row>
    <row r="64" spans="1:5" ht="15">
      <c r="A64" s="19" t="s">
        <v>44</v>
      </c>
      <c r="B64" s="20" t="s">
        <v>181</v>
      </c>
      <c r="C64" s="21" t="s">
        <v>182</v>
      </c>
      <c r="D64" s="21" t="s">
        <v>65</v>
      </c>
      <c r="E64" s="22"/>
    </row>
    <row r="65" spans="1:5" ht="15">
      <c r="A65" s="19" t="s">
        <v>44</v>
      </c>
      <c r="B65" s="20" t="s">
        <v>183</v>
      </c>
      <c r="C65" s="21" t="s">
        <v>184</v>
      </c>
      <c r="D65" s="21" t="s">
        <v>65</v>
      </c>
      <c r="E65" s="22"/>
    </row>
    <row r="66" spans="1:5" ht="15">
      <c r="A66" s="19" t="s">
        <v>44</v>
      </c>
      <c r="B66" s="20" t="s">
        <v>185</v>
      </c>
      <c r="C66" s="21" t="s">
        <v>186</v>
      </c>
      <c r="D66" s="21" t="s">
        <v>65</v>
      </c>
      <c r="E66" s="22"/>
    </row>
    <row r="67" spans="1:5" ht="15">
      <c r="A67" s="19" t="s">
        <v>44</v>
      </c>
      <c r="B67" s="20" t="s">
        <v>187</v>
      </c>
      <c r="C67" s="21" t="s">
        <v>188</v>
      </c>
      <c r="D67" s="21" t="s">
        <v>65</v>
      </c>
      <c r="E67" s="22"/>
    </row>
    <row r="68" spans="1:5" ht="15">
      <c r="A68" s="19" t="s">
        <v>44</v>
      </c>
      <c r="B68" s="20" t="s">
        <v>189</v>
      </c>
      <c r="C68" s="21" t="s">
        <v>190</v>
      </c>
      <c r="D68" s="21" t="s">
        <v>65</v>
      </c>
      <c r="E68" s="22"/>
    </row>
    <row r="69" spans="1:5" ht="15">
      <c r="A69" s="19" t="s">
        <v>44</v>
      </c>
      <c r="B69" s="20" t="s">
        <v>191</v>
      </c>
      <c r="C69" s="21" t="s">
        <v>192</v>
      </c>
      <c r="D69" s="21" t="s">
        <v>65</v>
      </c>
      <c r="E69" s="22" t="s">
        <v>66</v>
      </c>
    </row>
    <row r="70" spans="1:5" ht="15">
      <c r="A70" s="19" t="s">
        <v>44</v>
      </c>
      <c r="B70" s="20" t="s">
        <v>193</v>
      </c>
      <c r="C70" s="21" t="s">
        <v>194</v>
      </c>
      <c r="D70" s="21" t="s">
        <v>65</v>
      </c>
      <c r="E70" s="22"/>
    </row>
    <row r="71" spans="1:5" ht="15">
      <c r="A71" s="19" t="s">
        <v>44</v>
      </c>
      <c r="B71" s="20" t="s">
        <v>195</v>
      </c>
      <c r="C71" s="21" t="s">
        <v>196</v>
      </c>
      <c r="D71" s="21" t="s">
        <v>97</v>
      </c>
      <c r="E71" s="22" t="s">
        <v>98</v>
      </c>
    </row>
    <row r="72" spans="1:5" ht="15">
      <c r="A72" s="19" t="s">
        <v>44</v>
      </c>
      <c r="B72" s="20" t="s">
        <v>197</v>
      </c>
      <c r="C72" s="21" t="s">
        <v>198</v>
      </c>
      <c r="D72" s="21" t="s">
        <v>97</v>
      </c>
      <c r="E72" s="22"/>
    </row>
    <row r="73" spans="1:5" ht="15">
      <c r="A73" s="19" t="s">
        <v>44</v>
      </c>
      <c r="B73" s="20" t="s">
        <v>199</v>
      </c>
      <c r="C73" s="21" t="s">
        <v>200</v>
      </c>
      <c r="D73" s="21" t="s">
        <v>97</v>
      </c>
      <c r="E73" s="22"/>
    </row>
    <row r="74" spans="1:5" ht="15">
      <c r="A74" s="19" t="s">
        <v>44</v>
      </c>
      <c r="B74" s="20" t="s">
        <v>201</v>
      </c>
      <c r="C74" s="21" t="s">
        <v>202</v>
      </c>
      <c r="D74" s="21" t="s">
        <v>97</v>
      </c>
      <c r="E74" s="22"/>
    </row>
    <row r="75" spans="1:5" ht="15">
      <c r="A75" s="19" t="s">
        <v>44</v>
      </c>
      <c r="B75" s="20" t="s">
        <v>203</v>
      </c>
      <c r="C75" s="21" t="s">
        <v>204</v>
      </c>
      <c r="D75" s="21" t="s">
        <v>97</v>
      </c>
      <c r="E75" s="22"/>
    </row>
    <row r="76" spans="1:5" ht="15">
      <c r="A76" s="19" t="s">
        <v>44</v>
      </c>
      <c r="B76" s="20" t="s">
        <v>205</v>
      </c>
      <c r="C76" s="21" t="s">
        <v>206</v>
      </c>
      <c r="D76" s="21" t="s">
        <v>97</v>
      </c>
      <c r="E76" s="22"/>
    </row>
    <row r="77" spans="1:5" ht="15">
      <c r="A77" s="19" t="s">
        <v>44</v>
      </c>
      <c r="B77" s="20" t="s">
        <v>207</v>
      </c>
      <c r="C77" s="21" t="s">
        <v>208</v>
      </c>
      <c r="D77" s="21" t="s">
        <v>97</v>
      </c>
      <c r="E77" s="22"/>
    </row>
    <row r="78" spans="1:5" ht="15">
      <c r="A78" s="19" t="s">
        <v>44</v>
      </c>
      <c r="B78" s="20" t="s">
        <v>209</v>
      </c>
      <c r="C78" s="21" t="s">
        <v>210</v>
      </c>
      <c r="D78" s="21" t="s">
        <v>97</v>
      </c>
      <c r="E78" s="22"/>
    </row>
    <row r="79" spans="1:5" ht="15">
      <c r="A79" s="19" t="s">
        <v>44</v>
      </c>
      <c r="B79" s="20" t="s">
        <v>211</v>
      </c>
      <c r="C79" s="21" t="s">
        <v>212</v>
      </c>
      <c r="D79" s="21" t="s">
        <v>65</v>
      </c>
      <c r="E79" s="22"/>
    </row>
    <row r="80" spans="1:5" ht="15">
      <c r="A80" s="19" t="s">
        <v>44</v>
      </c>
      <c r="B80" s="20" t="s">
        <v>213</v>
      </c>
      <c r="C80" s="21"/>
      <c r="D80" s="21"/>
      <c r="E80" s="22"/>
    </row>
    <row r="81" spans="1:5" ht="15">
      <c r="A81" s="19" t="s">
        <v>45</v>
      </c>
      <c r="B81" s="20" t="s">
        <v>214</v>
      </c>
      <c r="C81" s="21" t="s">
        <v>215</v>
      </c>
      <c r="D81" s="21" t="s">
        <v>65</v>
      </c>
      <c r="E81" s="22"/>
    </row>
    <row r="82" spans="1:5" ht="15">
      <c r="A82" s="19" t="s">
        <v>45</v>
      </c>
      <c r="B82" s="20" t="s">
        <v>216</v>
      </c>
      <c r="C82" s="21" t="s">
        <v>217</v>
      </c>
      <c r="D82" s="21" t="s">
        <v>65</v>
      </c>
      <c r="E82" s="22"/>
    </row>
    <row r="83" spans="1:5" ht="15">
      <c r="A83" s="19" t="s">
        <v>45</v>
      </c>
      <c r="B83" s="20" t="s">
        <v>218</v>
      </c>
      <c r="C83" s="21" t="s">
        <v>219</v>
      </c>
      <c r="D83" s="21" t="s">
        <v>65</v>
      </c>
      <c r="E83" s="22" t="s">
        <v>66</v>
      </c>
    </row>
    <row r="84" spans="1:5" ht="15">
      <c r="A84" s="19" t="s">
        <v>45</v>
      </c>
      <c r="B84" s="20" t="s">
        <v>220</v>
      </c>
      <c r="C84" s="21" t="s">
        <v>221</v>
      </c>
      <c r="D84" s="21" t="s">
        <v>65</v>
      </c>
      <c r="E84" s="22"/>
    </row>
    <row r="85" spans="1:5" ht="15">
      <c r="A85" s="19" t="s">
        <v>45</v>
      </c>
      <c r="B85" s="20" t="s">
        <v>222</v>
      </c>
      <c r="C85" s="21" t="s">
        <v>223</v>
      </c>
      <c r="D85" s="21" t="s">
        <v>65</v>
      </c>
      <c r="E85" s="22"/>
    </row>
    <row r="86" spans="1:5" ht="15">
      <c r="A86" s="19" t="s">
        <v>45</v>
      </c>
      <c r="B86" s="20" t="s">
        <v>224</v>
      </c>
      <c r="C86" s="21" t="s">
        <v>225</v>
      </c>
      <c r="D86" s="21" t="s">
        <v>65</v>
      </c>
      <c r="E86" s="22"/>
    </row>
    <row r="87" spans="1:5" ht="15">
      <c r="A87" s="19" t="s">
        <v>45</v>
      </c>
      <c r="B87" s="20" t="s">
        <v>226</v>
      </c>
      <c r="C87" s="21" t="s">
        <v>227</v>
      </c>
      <c r="D87" s="21" t="s">
        <v>65</v>
      </c>
      <c r="E87" s="22"/>
    </row>
    <row r="88" spans="1:5" ht="15">
      <c r="A88" s="19" t="s">
        <v>45</v>
      </c>
      <c r="B88" s="20" t="s">
        <v>228</v>
      </c>
      <c r="C88" s="21" t="s">
        <v>229</v>
      </c>
      <c r="D88" s="21" t="s">
        <v>65</v>
      </c>
      <c r="E88" s="22"/>
    </row>
    <row r="89" spans="1:5" ht="15">
      <c r="A89" s="19" t="s">
        <v>45</v>
      </c>
      <c r="B89" s="20" t="s">
        <v>230</v>
      </c>
      <c r="C89" s="21" t="s">
        <v>231</v>
      </c>
      <c r="D89" s="21" t="s">
        <v>65</v>
      </c>
      <c r="E89" s="22"/>
    </row>
    <row r="90" spans="1:5" ht="15">
      <c r="A90" s="19" t="s">
        <v>45</v>
      </c>
      <c r="B90" s="20" t="s">
        <v>232</v>
      </c>
      <c r="C90" s="21" t="s">
        <v>233</v>
      </c>
      <c r="D90" s="21" t="s">
        <v>65</v>
      </c>
      <c r="E90" s="22"/>
    </row>
    <row r="91" spans="1:5" ht="15">
      <c r="A91" s="19" t="s">
        <v>45</v>
      </c>
      <c r="B91" s="20" t="s">
        <v>234</v>
      </c>
      <c r="C91" s="21" t="s">
        <v>235</v>
      </c>
      <c r="D91" s="21" t="s">
        <v>65</v>
      </c>
      <c r="E91" s="22"/>
    </row>
    <row r="92" spans="1:5" ht="15">
      <c r="A92" s="19" t="s">
        <v>45</v>
      </c>
      <c r="B92" s="20" t="s">
        <v>236</v>
      </c>
      <c r="C92" s="21" t="s">
        <v>237</v>
      </c>
      <c r="D92" s="21" t="s">
        <v>65</v>
      </c>
      <c r="E92" s="22"/>
    </row>
    <row r="93" spans="1:5" ht="15">
      <c r="A93" s="19" t="s">
        <v>45</v>
      </c>
      <c r="B93" s="20" t="s">
        <v>238</v>
      </c>
      <c r="C93" s="21" t="s">
        <v>239</v>
      </c>
      <c r="D93" s="21" t="s">
        <v>65</v>
      </c>
      <c r="E93" s="22"/>
    </row>
    <row r="94" spans="1:5" ht="15">
      <c r="A94" s="19" t="s">
        <v>45</v>
      </c>
      <c r="B94" s="20" t="s">
        <v>240</v>
      </c>
      <c r="C94" s="21" t="s">
        <v>241</v>
      </c>
      <c r="D94" s="21" t="s">
        <v>65</v>
      </c>
      <c r="E94" s="22"/>
    </row>
    <row r="95" spans="1:5" ht="15">
      <c r="A95" s="19" t="s">
        <v>45</v>
      </c>
      <c r="B95" s="20" t="s">
        <v>242</v>
      </c>
      <c r="C95" s="21" t="s">
        <v>243</v>
      </c>
      <c r="D95" s="21" t="s">
        <v>65</v>
      </c>
      <c r="E95" s="22"/>
    </row>
    <row r="96" spans="1:5" ht="15">
      <c r="A96" s="19" t="s">
        <v>45</v>
      </c>
      <c r="B96" s="20" t="s">
        <v>244</v>
      </c>
      <c r="C96" s="21" t="s">
        <v>245</v>
      </c>
      <c r="D96" s="21" t="s">
        <v>97</v>
      </c>
      <c r="E96" s="22" t="s">
        <v>98</v>
      </c>
    </row>
    <row r="97" spans="1:5" ht="15">
      <c r="A97" s="19" t="s">
        <v>45</v>
      </c>
      <c r="B97" s="20" t="s">
        <v>246</v>
      </c>
      <c r="C97" s="21" t="s">
        <v>247</v>
      </c>
      <c r="D97" s="21" t="s">
        <v>97</v>
      </c>
      <c r="E97" s="22"/>
    </row>
    <row r="98" spans="1:5" ht="15">
      <c r="A98" s="19" t="s">
        <v>45</v>
      </c>
      <c r="B98" s="20" t="s">
        <v>248</v>
      </c>
      <c r="C98" s="21" t="s">
        <v>249</v>
      </c>
      <c r="D98" s="21" t="s">
        <v>97</v>
      </c>
      <c r="E98" s="22"/>
    </row>
    <row r="99" spans="1:5" ht="15">
      <c r="A99" s="19" t="s">
        <v>45</v>
      </c>
      <c r="B99" s="20" t="s">
        <v>250</v>
      </c>
      <c r="C99" s="21" t="s">
        <v>251</v>
      </c>
      <c r="D99" s="21" t="s">
        <v>97</v>
      </c>
      <c r="E99" s="22"/>
    </row>
    <row r="100" spans="1:5" ht="15">
      <c r="A100" s="19" t="s">
        <v>45</v>
      </c>
      <c r="B100" s="20" t="s">
        <v>252</v>
      </c>
      <c r="C100" s="21" t="s">
        <v>253</v>
      </c>
      <c r="D100" s="21" t="s">
        <v>97</v>
      </c>
      <c r="E100" s="22"/>
    </row>
    <row r="101" spans="1:5" ht="15">
      <c r="A101" s="19" t="s">
        <v>45</v>
      </c>
      <c r="B101" s="20" t="s">
        <v>254</v>
      </c>
      <c r="C101" s="21" t="s">
        <v>255</v>
      </c>
      <c r="D101" s="21" t="s">
        <v>97</v>
      </c>
      <c r="E101" s="22"/>
    </row>
    <row r="102" spans="1:5" ht="15">
      <c r="A102" s="19" t="s">
        <v>45</v>
      </c>
      <c r="B102" s="20" t="s">
        <v>256</v>
      </c>
      <c r="C102" s="21" t="s">
        <v>257</v>
      </c>
      <c r="D102" s="21" t="s">
        <v>97</v>
      </c>
      <c r="E102" s="22"/>
    </row>
    <row r="103" spans="1:5" ht="15">
      <c r="A103" s="19" t="s">
        <v>45</v>
      </c>
      <c r="B103" s="20" t="s">
        <v>258</v>
      </c>
      <c r="C103" s="21" t="s">
        <v>259</v>
      </c>
      <c r="D103" s="21" t="s">
        <v>97</v>
      </c>
      <c r="E103" s="22"/>
    </row>
    <row r="104" spans="1:5" ht="15">
      <c r="A104" s="19" t="s">
        <v>45</v>
      </c>
      <c r="B104" s="20" t="s">
        <v>260</v>
      </c>
      <c r="C104" s="21" t="s">
        <v>261</v>
      </c>
      <c r="D104" s="21" t="s">
        <v>65</v>
      </c>
      <c r="E104" s="22"/>
    </row>
    <row r="105" spans="1:5" ht="15">
      <c r="A105" s="19" t="s">
        <v>45</v>
      </c>
      <c r="B105" s="20" t="s">
        <v>262</v>
      </c>
      <c r="C105" s="21"/>
      <c r="D105" s="21"/>
      <c r="E105" s="22"/>
    </row>
    <row r="106" spans="1:5" ht="15">
      <c r="A106" s="19" t="s">
        <v>46</v>
      </c>
      <c r="B106" s="20" t="s">
        <v>263</v>
      </c>
      <c r="C106" s="21" t="s">
        <v>264</v>
      </c>
      <c r="D106" s="21" t="s">
        <v>65</v>
      </c>
      <c r="E106" s="22"/>
    </row>
    <row r="107" spans="1:5" ht="15">
      <c r="A107" s="19" t="s">
        <v>46</v>
      </c>
      <c r="B107" s="20" t="s">
        <v>265</v>
      </c>
      <c r="C107" s="21" t="s">
        <v>266</v>
      </c>
      <c r="D107" s="21" t="s">
        <v>65</v>
      </c>
      <c r="E107" s="22"/>
    </row>
    <row r="108" spans="1:5" ht="15">
      <c r="A108" s="19" t="s">
        <v>46</v>
      </c>
      <c r="B108" s="20" t="s">
        <v>267</v>
      </c>
      <c r="C108" s="21" t="s">
        <v>268</v>
      </c>
      <c r="D108" s="21" t="s">
        <v>65</v>
      </c>
      <c r="E108" s="22"/>
    </row>
    <row r="109" spans="1:5" ht="15">
      <c r="A109" s="19" t="s">
        <v>46</v>
      </c>
      <c r="B109" s="20" t="s">
        <v>269</v>
      </c>
      <c r="C109" s="21" t="s">
        <v>270</v>
      </c>
      <c r="D109" s="21" t="s">
        <v>65</v>
      </c>
      <c r="E109" s="22"/>
    </row>
    <row r="110" spans="1:5" ht="15">
      <c r="A110" s="19" t="s">
        <v>46</v>
      </c>
      <c r="B110" s="20" t="s">
        <v>271</v>
      </c>
      <c r="C110" s="21" t="s">
        <v>223</v>
      </c>
      <c r="D110" s="21" t="s">
        <v>65</v>
      </c>
      <c r="E110" s="22"/>
    </row>
    <row r="111" spans="1:5" ht="15">
      <c r="A111" s="19" t="s">
        <v>46</v>
      </c>
      <c r="B111" s="20" t="s">
        <v>272</v>
      </c>
      <c r="C111" s="21" t="s">
        <v>273</v>
      </c>
      <c r="D111" s="21" t="s">
        <v>65</v>
      </c>
      <c r="E111" s="22"/>
    </row>
    <row r="112" spans="1:5" ht="15">
      <c r="A112" s="19" t="s">
        <v>46</v>
      </c>
      <c r="B112" s="20" t="s">
        <v>274</v>
      </c>
      <c r="C112" s="21" t="s">
        <v>275</v>
      </c>
      <c r="D112" s="21" t="s">
        <v>65</v>
      </c>
      <c r="E112" s="22"/>
    </row>
    <row r="113" spans="1:5" ht="15">
      <c r="A113" s="19" t="s">
        <v>46</v>
      </c>
      <c r="B113" s="20" t="s">
        <v>276</v>
      </c>
      <c r="C113" s="21" t="s">
        <v>277</v>
      </c>
      <c r="D113" s="21" t="s">
        <v>65</v>
      </c>
      <c r="E113" s="22"/>
    </row>
    <row r="114" spans="1:5" ht="15">
      <c r="A114" s="19" t="s">
        <v>46</v>
      </c>
      <c r="B114" s="20" t="s">
        <v>278</v>
      </c>
      <c r="C114" s="21" t="s">
        <v>279</v>
      </c>
      <c r="D114" s="21" t="s">
        <v>65</v>
      </c>
      <c r="E114" s="22"/>
    </row>
    <row r="115" spans="1:5" ht="15">
      <c r="A115" s="19" t="s">
        <v>46</v>
      </c>
      <c r="B115" s="20" t="s">
        <v>280</v>
      </c>
      <c r="C115" s="21" t="s">
        <v>281</v>
      </c>
      <c r="D115" s="21" t="s">
        <v>65</v>
      </c>
      <c r="E115" s="22"/>
    </row>
    <row r="116" spans="1:5" ht="15">
      <c r="A116" s="19" t="s">
        <v>46</v>
      </c>
      <c r="B116" s="20" t="s">
        <v>282</v>
      </c>
      <c r="C116" s="21" t="s">
        <v>283</v>
      </c>
      <c r="D116" s="21" t="s">
        <v>65</v>
      </c>
      <c r="E116" s="22"/>
    </row>
    <row r="117" spans="1:5" ht="15">
      <c r="A117" s="19" t="s">
        <v>46</v>
      </c>
      <c r="B117" s="20" t="s">
        <v>284</v>
      </c>
      <c r="C117" s="21" t="s">
        <v>285</v>
      </c>
      <c r="D117" s="21" t="s">
        <v>65</v>
      </c>
      <c r="E117" s="22"/>
    </row>
    <row r="118" spans="1:5" ht="15">
      <c r="A118" s="19" t="s">
        <v>46</v>
      </c>
      <c r="B118" s="20" t="s">
        <v>286</v>
      </c>
      <c r="C118" s="21" t="s">
        <v>287</v>
      </c>
      <c r="D118" s="21" t="s">
        <v>65</v>
      </c>
      <c r="E118" s="22"/>
    </row>
    <row r="119" spans="1:5" ht="15">
      <c r="A119" s="19" t="s">
        <v>46</v>
      </c>
      <c r="B119" s="20" t="s">
        <v>288</v>
      </c>
      <c r="C119" s="21" t="s">
        <v>289</v>
      </c>
      <c r="D119" s="21" t="s">
        <v>65</v>
      </c>
      <c r="E119" s="22"/>
    </row>
    <row r="120" spans="1:5" ht="15">
      <c r="A120" s="19" t="s">
        <v>46</v>
      </c>
      <c r="B120" s="20" t="s">
        <v>290</v>
      </c>
      <c r="C120" s="21" t="s">
        <v>291</v>
      </c>
      <c r="D120" s="21" t="s">
        <v>65</v>
      </c>
      <c r="E120" s="22" t="s">
        <v>66</v>
      </c>
    </row>
    <row r="121" spans="1:5" ht="15">
      <c r="A121" s="19" t="s">
        <v>46</v>
      </c>
      <c r="B121" s="20" t="s">
        <v>292</v>
      </c>
      <c r="C121" s="21" t="s">
        <v>293</v>
      </c>
      <c r="D121" s="21" t="s">
        <v>97</v>
      </c>
      <c r="E121" s="22" t="s">
        <v>98</v>
      </c>
    </row>
    <row r="122" spans="1:5" ht="15">
      <c r="A122" s="19" t="s">
        <v>46</v>
      </c>
      <c r="B122" s="20" t="s">
        <v>294</v>
      </c>
      <c r="C122" s="21" t="s">
        <v>295</v>
      </c>
      <c r="D122" s="21" t="s">
        <v>97</v>
      </c>
      <c r="E122" s="22"/>
    </row>
    <row r="123" spans="1:5" ht="15">
      <c r="A123" s="19" t="s">
        <v>46</v>
      </c>
      <c r="B123" s="20" t="s">
        <v>296</v>
      </c>
      <c r="C123" s="21" t="s">
        <v>297</v>
      </c>
      <c r="D123" s="21" t="s">
        <v>97</v>
      </c>
      <c r="E123" s="22"/>
    </row>
    <row r="124" spans="1:5" ht="15">
      <c r="A124" s="19" t="s">
        <v>46</v>
      </c>
      <c r="B124" s="20" t="s">
        <v>298</v>
      </c>
      <c r="C124" s="21" t="s">
        <v>299</v>
      </c>
      <c r="D124" s="21" t="s">
        <v>97</v>
      </c>
      <c r="E124" s="22"/>
    </row>
    <row r="125" spans="1:5" ht="15">
      <c r="A125" s="19" t="s">
        <v>46</v>
      </c>
      <c r="B125" s="20" t="s">
        <v>300</v>
      </c>
      <c r="C125" s="21" t="s">
        <v>301</v>
      </c>
      <c r="D125" s="21" t="s">
        <v>97</v>
      </c>
      <c r="E125" s="22"/>
    </row>
    <row r="126" spans="1:5" ht="15">
      <c r="A126" s="19" t="s">
        <v>46</v>
      </c>
      <c r="B126" s="20" t="s">
        <v>302</v>
      </c>
      <c r="C126" s="21" t="s">
        <v>303</v>
      </c>
      <c r="D126" s="21" t="s">
        <v>97</v>
      </c>
      <c r="E126" s="22"/>
    </row>
    <row r="127" spans="1:5" ht="15">
      <c r="A127" s="19" t="s">
        <v>46</v>
      </c>
      <c r="B127" s="20" t="s">
        <v>304</v>
      </c>
      <c r="C127" s="21" t="s">
        <v>305</v>
      </c>
      <c r="D127" s="21" t="s">
        <v>97</v>
      </c>
      <c r="E127" s="22"/>
    </row>
    <row r="128" spans="1:5" ht="15">
      <c r="A128" s="19" t="s">
        <v>46</v>
      </c>
      <c r="B128" s="20" t="s">
        <v>306</v>
      </c>
      <c r="C128" s="21" t="s">
        <v>307</v>
      </c>
      <c r="D128" s="21" t="s">
        <v>97</v>
      </c>
      <c r="E128" s="22"/>
    </row>
    <row r="129" spans="1:5" ht="15">
      <c r="A129" s="19" t="s">
        <v>46</v>
      </c>
      <c r="B129" s="20" t="s">
        <v>308</v>
      </c>
      <c r="C129" s="21" t="s">
        <v>309</v>
      </c>
      <c r="D129" s="21" t="s">
        <v>97</v>
      </c>
      <c r="E129" s="22"/>
    </row>
    <row r="130" spans="1:5" ht="15">
      <c r="A130" s="19" t="s">
        <v>46</v>
      </c>
      <c r="B130" s="20" t="s">
        <v>310</v>
      </c>
      <c r="C130" s="21"/>
      <c r="D130" s="21"/>
      <c r="E130" s="22"/>
    </row>
    <row r="131" spans="1:5" ht="15">
      <c r="A131" s="19" t="s">
        <v>47</v>
      </c>
      <c r="B131" s="20" t="s">
        <v>311</v>
      </c>
      <c r="C131" s="21" t="s">
        <v>312</v>
      </c>
      <c r="D131" s="21" t="s">
        <v>65</v>
      </c>
      <c r="E131" s="22"/>
    </row>
    <row r="132" spans="1:5" ht="15">
      <c r="A132" s="19" t="s">
        <v>47</v>
      </c>
      <c r="B132" s="20" t="s">
        <v>313</v>
      </c>
      <c r="C132" s="21" t="s">
        <v>314</v>
      </c>
      <c r="D132" s="21" t="s">
        <v>65</v>
      </c>
      <c r="E132" s="22"/>
    </row>
    <row r="133" spans="1:5" ht="15">
      <c r="A133" s="19" t="s">
        <v>47</v>
      </c>
      <c r="B133" s="20" t="s">
        <v>315</v>
      </c>
      <c r="C133" s="21" t="s">
        <v>316</v>
      </c>
      <c r="D133" s="21" t="s">
        <v>65</v>
      </c>
      <c r="E133" s="22"/>
    </row>
    <row r="134" spans="1:5" ht="15">
      <c r="A134" s="19" t="s">
        <v>47</v>
      </c>
      <c r="B134" s="20" t="s">
        <v>317</v>
      </c>
      <c r="C134" s="21" t="s">
        <v>318</v>
      </c>
      <c r="D134" s="21" t="s">
        <v>65</v>
      </c>
      <c r="E134" s="22"/>
    </row>
    <row r="135" spans="1:5" ht="15">
      <c r="A135" s="19" t="s">
        <v>47</v>
      </c>
      <c r="B135" s="20" t="s">
        <v>319</v>
      </c>
      <c r="C135" s="21" t="s">
        <v>320</v>
      </c>
      <c r="D135" s="21" t="s">
        <v>65</v>
      </c>
      <c r="E135" s="22"/>
    </row>
    <row r="136" spans="1:5" ht="15">
      <c r="A136" s="19" t="s">
        <v>47</v>
      </c>
      <c r="B136" s="20" t="s">
        <v>321</v>
      </c>
      <c r="C136" s="21" t="s">
        <v>322</v>
      </c>
      <c r="D136" s="21" t="s">
        <v>65</v>
      </c>
      <c r="E136" s="22"/>
    </row>
    <row r="137" spans="1:5" ht="15">
      <c r="A137" s="19" t="s">
        <v>47</v>
      </c>
      <c r="B137" s="20" t="s">
        <v>323</v>
      </c>
      <c r="C137" s="21" t="s">
        <v>324</v>
      </c>
      <c r="D137" s="21" t="s">
        <v>65</v>
      </c>
      <c r="E137" s="22"/>
    </row>
    <row r="138" spans="1:5" ht="15">
      <c r="A138" s="19" t="s">
        <v>47</v>
      </c>
      <c r="B138" s="20" t="s">
        <v>325</v>
      </c>
      <c r="C138" s="21" t="s">
        <v>326</v>
      </c>
      <c r="D138" s="21" t="s">
        <v>65</v>
      </c>
      <c r="E138" s="22"/>
    </row>
    <row r="139" spans="1:5" ht="15">
      <c r="A139" s="19" t="s">
        <v>47</v>
      </c>
      <c r="B139" s="20" t="s">
        <v>327</v>
      </c>
      <c r="C139" s="21" t="s">
        <v>328</v>
      </c>
      <c r="D139" s="21" t="s">
        <v>65</v>
      </c>
      <c r="E139" s="22"/>
    </row>
    <row r="140" spans="1:5" ht="15">
      <c r="A140" s="19" t="s">
        <v>47</v>
      </c>
      <c r="B140" s="20" t="s">
        <v>329</v>
      </c>
      <c r="C140" s="21" t="s">
        <v>330</v>
      </c>
      <c r="D140" s="21" t="s">
        <v>65</v>
      </c>
      <c r="E140" s="22"/>
    </row>
    <row r="141" spans="1:5" ht="15">
      <c r="A141" s="19" t="s">
        <v>47</v>
      </c>
      <c r="B141" s="20" t="s">
        <v>331</v>
      </c>
      <c r="C141" s="21" t="s">
        <v>332</v>
      </c>
      <c r="D141" s="21" t="s">
        <v>65</v>
      </c>
      <c r="E141" s="22" t="s">
        <v>66</v>
      </c>
    </row>
    <row r="142" spans="1:5" ht="15">
      <c r="A142" s="19" t="s">
        <v>47</v>
      </c>
      <c r="B142" s="20" t="s">
        <v>333</v>
      </c>
      <c r="C142" s="21" t="s">
        <v>334</v>
      </c>
      <c r="D142" s="21" t="s">
        <v>65</v>
      </c>
      <c r="E142" s="22"/>
    </row>
    <row r="143" spans="1:5" ht="15">
      <c r="A143" s="19" t="s">
        <v>47</v>
      </c>
      <c r="B143" s="20" t="s">
        <v>335</v>
      </c>
      <c r="C143" s="21" t="s">
        <v>336</v>
      </c>
      <c r="D143" s="21" t="s">
        <v>65</v>
      </c>
      <c r="E143" s="22"/>
    </row>
    <row r="144" spans="1:5" ht="15">
      <c r="A144" s="19" t="s">
        <v>47</v>
      </c>
      <c r="B144" s="20" t="s">
        <v>337</v>
      </c>
      <c r="C144" s="21" t="s">
        <v>338</v>
      </c>
      <c r="D144" s="21" t="s">
        <v>65</v>
      </c>
      <c r="E144" s="22"/>
    </row>
    <row r="145" spans="1:5" ht="15">
      <c r="A145" s="19" t="s">
        <v>47</v>
      </c>
      <c r="B145" s="20" t="s">
        <v>339</v>
      </c>
      <c r="C145" s="21" t="s">
        <v>241</v>
      </c>
      <c r="D145" s="21" t="s">
        <v>65</v>
      </c>
      <c r="E145" s="22"/>
    </row>
    <row r="146" spans="1:5" ht="15">
      <c r="A146" s="19" t="s">
        <v>47</v>
      </c>
      <c r="B146" s="20" t="s">
        <v>340</v>
      </c>
      <c r="C146" s="21" t="s">
        <v>341</v>
      </c>
      <c r="D146" s="21" t="s">
        <v>97</v>
      </c>
      <c r="E146" s="22" t="s">
        <v>98</v>
      </c>
    </row>
    <row r="147" spans="1:5" ht="15">
      <c r="A147" s="19" t="s">
        <v>47</v>
      </c>
      <c r="B147" s="20" t="s">
        <v>342</v>
      </c>
      <c r="C147" s="21" t="s">
        <v>343</v>
      </c>
      <c r="D147" s="21" t="s">
        <v>97</v>
      </c>
      <c r="E147" s="22"/>
    </row>
    <row r="148" spans="1:5" ht="15">
      <c r="A148" s="19" t="s">
        <v>47</v>
      </c>
      <c r="B148" s="20" t="s">
        <v>344</v>
      </c>
      <c r="C148" s="21" t="s">
        <v>345</v>
      </c>
      <c r="D148" s="21" t="s">
        <v>97</v>
      </c>
      <c r="E148" s="22"/>
    </row>
    <row r="149" spans="1:5" ht="15">
      <c r="A149" s="19" t="s">
        <v>47</v>
      </c>
      <c r="B149" s="20" t="s">
        <v>346</v>
      </c>
      <c r="C149" s="21" t="s">
        <v>347</v>
      </c>
      <c r="D149" s="21" t="s">
        <v>97</v>
      </c>
      <c r="E149" s="22"/>
    </row>
    <row r="150" spans="1:5" ht="15">
      <c r="A150" s="19" t="s">
        <v>47</v>
      </c>
      <c r="B150" s="20" t="s">
        <v>348</v>
      </c>
      <c r="C150" s="21" t="s">
        <v>349</v>
      </c>
      <c r="D150" s="21" t="s">
        <v>97</v>
      </c>
      <c r="E150" s="22"/>
    </row>
    <row r="151" spans="1:5" ht="15">
      <c r="A151" s="19" t="s">
        <v>47</v>
      </c>
      <c r="B151" s="20" t="s">
        <v>350</v>
      </c>
      <c r="C151" s="21" t="s">
        <v>351</v>
      </c>
      <c r="D151" s="21" t="s">
        <v>97</v>
      </c>
      <c r="E151" s="22"/>
    </row>
    <row r="152" spans="1:5" ht="15">
      <c r="A152" s="19" t="s">
        <v>47</v>
      </c>
      <c r="B152" s="20" t="s">
        <v>352</v>
      </c>
      <c r="C152" s="21" t="s">
        <v>353</v>
      </c>
      <c r="D152" s="21" t="s">
        <v>97</v>
      </c>
      <c r="E152" s="22"/>
    </row>
    <row r="153" spans="1:5" ht="15">
      <c r="A153" s="19" t="s">
        <v>47</v>
      </c>
      <c r="B153" s="20" t="s">
        <v>354</v>
      </c>
      <c r="C153" s="21" t="s">
        <v>355</v>
      </c>
      <c r="D153" s="21" t="s">
        <v>97</v>
      </c>
      <c r="E153" s="22"/>
    </row>
    <row r="154" spans="1:5" ht="15">
      <c r="A154" s="19" t="s">
        <v>47</v>
      </c>
      <c r="B154" s="20" t="s">
        <v>356</v>
      </c>
      <c r="C154" s="21"/>
      <c r="D154" s="21"/>
      <c r="E154" s="22"/>
    </row>
    <row r="155" spans="1:5" ht="15">
      <c r="A155" s="19" t="s">
        <v>47</v>
      </c>
      <c r="B155" s="20" t="s">
        <v>357</v>
      </c>
      <c r="C155" s="21"/>
      <c r="D155" s="21"/>
      <c r="E155" s="22"/>
    </row>
    <row r="156" spans="1:5" ht="15">
      <c r="A156" s="19" t="s">
        <v>48</v>
      </c>
      <c r="B156" s="20" t="s">
        <v>358</v>
      </c>
      <c r="C156" s="21" t="s">
        <v>359</v>
      </c>
      <c r="D156" s="21" t="s">
        <v>65</v>
      </c>
      <c r="E156" s="22"/>
    </row>
    <row r="157" spans="1:5" ht="15">
      <c r="A157" s="19" t="s">
        <v>48</v>
      </c>
      <c r="B157" s="20" t="s">
        <v>360</v>
      </c>
      <c r="C157" s="21" t="s">
        <v>361</v>
      </c>
      <c r="D157" s="21" t="s">
        <v>65</v>
      </c>
      <c r="E157" s="22"/>
    </row>
    <row r="158" spans="1:5" ht="15">
      <c r="A158" s="19" t="s">
        <v>48</v>
      </c>
      <c r="B158" s="20" t="s">
        <v>362</v>
      </c>
      <c r="C158" s="21" t="s">
        <v>363</v>
      </c>
      <c r="D158" s="21" t="s">
        <v>65</v>
      </c>
      <c r="E158" s="22" t="s">
        <v>66</v>
      </c>
    </row>
    <row r="159" spans="1:5" ht="15">
      <c r="A159" s="19" t="s">
        <v>48</v>
      </c>
      <c r="B159" s="20" t="s">
        <v>364</v>
      </c>
      <c r="C159" s="21" t="s">
        <v>365</v>
      </c>
      <c r="D159" s="21" t="s">
        <v>65</v>
      </c>
      <c r="E159" s="22"/>
    </row>
    <row r="160" spans="1:5" ht="15">
      <c r="A160" s="19" t="s">
        <v>48</v>
      </c>
      <c r="B160" s="20" t="s">
        <v>366</v>
      </c>
      <c r="C160" s="21" t="s">
        <v>367</v>
      </c>
      <c r="D160" s="21" t="s">
        <v>65</v>
      </c>
      <c r="E160" s="22"/>
    </row>
    <row r="161" spans="1:5" ht="15">
      <c r="A161" s="19" t="s">
        <v>48</v>
      </c>
      <c r="B161" s="20" t="s">
        <v>368</v>
      </c>
      <c r="C161" s="21" t="s">
        <v>369</v>
      </c>
      <c r="D161" s="21" t="s">
        <v>65</v>
      </c>
      <c r="E161" s="22"/>
    </row>
    <row r="162" spans="1:5" ht="15">
      <c r="A162" s="19" t="s">
        <v>48</v>
      </c>
      <c r="B162" s="20" t="s">
        <v>370</v>
      </c>
      <c r="C162" s="21" t="s">
        <v>371</v>
      </c>
      <c r="D162" s="21" t="s">
        <v>65</v>
      </c>
      <c r="E162" s="22"/>
    </row>
    <row r="163" spans="1:5" ht="15">
      <c r="A163" s="19" t="s">
        <v>48</v>
      </c>
      <c r="B163" s="20" t="s">
        <v>372</v>
      </c>
      <c r="C163" s="21" t="s">
        <v>373</v>
      </c>
      <c r="D163" s="21" t="s">
        <v>65</v>
      </c>
      <c r="E163" s="22"/>
    </row>
    <row r="164" spans="1:5" ht="15">
      <c r="A164" s="19" t="s">
        <v>48</v>
      </c>
      <c r="B164" s="20" t="s">
        <v>374</v>
      </c>
      <c r="C164" s="21" t="s">
        <v>375</v>
      </c>
      <c r="D164" s="21" t="s">
        <v>65</v>
      </c>
      <c r="E164" s="22"/>
    </row>
    <row r="165" spans="1:5" ht="15">
      <c r="A165" s="19" t="s">
        <v>48</v>
      </c>
      <c r="B165" s="20" t="s">
        <v>376</v>
      </c>
      <c r="C165" s="21" t="s">
        <v>377</v>
      </c>
      <c r="D165" s="21" t="s">
        <v>65</v>
      </c>
      <c r="E165" s="22"/>
    </row>
    <row r="166" spans="1:5" ht="15">
      <c r="A166" s="19" t="s">
        <v>48</v>
      </c>
      <c r="B166" s="20" t="s">
        <v>378</v>
      </c>
      <c r="C166" s="21" t="s">
        <v>379</v>
      </c>
      <c r="D166" s="21" t="s">
        <v>65</v>
      </c>
      <c r="E166" s="22"/>
    </row>
    <row r="167" spans="1:5" ht="15">
      <c r="A167" s="19" t="s">
        <v>48</v>
      </c>
      <c r="B167" s="20" t="s">
        <v>380</v>
      </c>
      <c r="C167" s="21" t="s">
        <v>381</v>
      </c>
      <c r="D167" s="21" t="s">
        <v>65</v>
      </c>
      <c r="E167" s="22"/>
    </row>
    <row r="168" spans="1:5" ht="15">
      <c r="A168" s="19" t="s">
        <v>48</v>
      </c>
      <c r="B168" s="20" t="s">
        <v>382</v>
      </c>
      <c r="C168" s="21" t="s">
        <v>383</v>
      </c>
      <c r="D168" s="21" t="s">
        <v>65</v>
      </c>
      <c r="E168" s="22"/>
    </row>
    <row r="169" spans="1:5" ht="15">
      <c r="A169" s="19" t="s">
        <v>48</v>
      </c>
      <c r="B169" s="20" t="s">
        <v>384</v>
      </c>
      <c r="C169" s="21" t="s">
        <v>385</v>
      </c>
      <c r="D169" s="21" t="s">
        <v>65</v>
      </c>
      <c r="E169" s="22"/>
    </row>
    <row r="170" spans="1:5" ht="15">
      <c r="A170" s="19" t="s">
        <v>48</v>
      </c>
      <c r="B170" s="20" t="s">
        <v>386</v>
      </c>
      <c r="C170" s="21" t="s">
        <v>387</v>
      </c>
      <c r="D170" s="21" t="s">
        <v>65</v>
      </c>
      <c r="E170" s="22"/>
    </row>
    <row r="171" spans="1:5" ht="15">
      <c r="A171" s="19" t="s">
        <v>48</v>
      </c>
      <c r="B171" s="20" t="s">
        <v>388</v>
      </c>
      <c r="C171" s="21" t="s">
        <v>389</v>
      </c>
      <c r="D171" s="21" t="s">
        <v>97</v>
      </c>
      <c r="E171" s="22" t="s">
        <v>98</v>
      </c>
    </row>
    <row r="172" spans="1:5" ht="15">
      <c r="A172" s="19" t="s">
        <v>48</v>
      </c>
      <c r="B172" s="20" t="s">
        <v>390</v>
      </c>
      <c r="C172" s="21" t="s">
        <v>391</v>
      </c>
      <c r="D172" s="21" t="s">
        <v>97</v>
      </c>
      <c r="E172" s="22"/>
    </row>
    <row r="173" spans="1:5" ht="15">
      <c r="A173" s="19" t="s">
        <v>48</v>
      </c>
      <c r="B173" s="20" t="s">
        <v>392</v>
      </c>
      <c r="C173" s="21" t="s">
        <v>393</v>
      </c>
      <c r="D173" s="21" t="s">
        <v>97</v>
      </c>
      <c r="E173" s="22"/>
    </row>
    <row r="174" spans="1:5" ht="15">
      <c r="A174" s="19" t="s">
        <v>48</v>
      </c>
      <c r="B174" s="20" t="s">
        <v>394</v>
      </c>
      <c r="C174" s="21" t="s">
        <v>395</v>
      </c>
      <c r="D174" s="21" t="s">
        <v>97</v>
      </c>
      <c r="E174" s="22"/>
    </row>
    <row r="175" spans="1:5" ht="15">
      <c r="A175" s="19" t="s">
        <v>48</v>
      </c>
      <c r="B175" s="20" t="s">
        <v>396</v>
      </c>
      <c r="C175" s="21" t="s">
        <v>397</v>
      </c>
      <c r="D175" s="21" t="s">
        <v>97</v>
      </c>
      <c r="E175" s="22"/>
    </row>
    <row r="176" spans="1:5" ht="15">
      <c r="A176" s="19" t="s">
        <v>48</v>
      </c>
      <c r="B176" s="20" t="s">
        <v>398</v>
      </c>
      <c r="C176" s="21" t="s">
        <v>399</v>
      </c>
      <c r="D176" s="21" t="s">
        <v>97</v>
      </c>
      <c r="E176" s="22"/>
    </row>
    <row r="177" spans="1:5" ht="15">
      <c r="A177" s="19" t="s">
        <v>48</v>
      </c>
      <c r="B177" s="20" t="s">
        <v>400</v>
      </c>
      <c r="C177" s="21" t="s">
        <v>401</v>
      </c>
      <c r="D177" s="21" t="s">
        <v>97</v>
      </c>
      <c r="E177" s="22"/>
    </row>
    <row r="178" spans="1:5" ht="15">
      <c r="A178" s="19" t="s">
        <v>48</v>
      </c>
      <c r="B178" s="20" t="s">
        <v>402</v>
      </c>
      <c r="C178" s="21" t="s">
        <v>403</v>
      </c>
      <c r="D178" s="21" t="s">
        <v>97</v>
      </c>
      <c r="E178" s="22"/>
    </row>
    <row r="179" spans="1:5" ht="15">
      <c r="A179" s="19" t="s">
        <v>48</v>
      </c>
      <c r="B179" s="20" t="s">
        <v>404</v>
      </c>
      <c r="C179" s="21" t="s">
        <v>405</v>
      </c>
      <c r="D179" s="21" t="s">
        <v>65</v>
      </c>
      <c r="E179" s="22"/>
    </row>
    <row r="180" spans="1:5" ht="15">
      <c r="A180" s="19" t="s">
        <v>48</v>
      </c>
      <c r="B180" s="20" t="s">
        <v>406</v>
      </c>
      <c r="C180" s="21"/>
      <c r="D180" s="21"/>
      <c r="E180" s="22"/>
    </row>
    <row r="181" spans="1:5" ht="15">
      <c r="A181" s="19" t="s">
        <v>49</v>
      </c>
      <c r="B181" s="20" t="s">
        <v>407</v>
      </c>
      <c r="C181" s="21" t="s">
        <v>408</v>
      </c>
      <c r="D181" s="21" t="s">
        <v>65</v>
      </c>
      <c r="E181" s="22" t="s">
        <v>66</v>
      </c>
    </row>
    <row r="182" spans="1:5" ht="15">
      <c r="A182" s="19" t="s">
        <v>49</v>
      </c>
      <c r="B182" s="20" t="s">
        <v>409</v>
      </c>
      <c r="C182" s="21" t="s">
        <v>410</v>
      </c>
      <c r="D182" s="21" t="s">
        <v>65</v>
      </c>
      <c r="E182" s="22"/>
    </row>
    <row r="183" spans="1:5" ht="15">
      <c r="A183" s="19" t="s">
        <v>49</v>
      </c>
      <c r="B183" s="20" t="s">
        <v>411</v>
      </c>
      <c r="C183" s="21" t="s">
        <v>412</v>
      </c>
      <c r="D183" s="21" t="s">
        <v>65</v>
      </c>
      <c r="E183" s="22"/>
    </row>
    <row r="184" spans="1:5" ht="15">
      <c r="A184" s="19" t="s">
        <v>49</v>
      </c>
      <c r="B184" s="20" t="s">
        <v>413</v>
      </c>
      <c r="C184" s="21" t="s">
        <v>414</v>
      </c>
      <c r="D184" s="21" t="s">
        <v>65</v>
      </c>
      <c r="E184" s="22"/>
    </row>
    <row r="185" spans="1:5" ht="15">
      <c r="A185" s="19" t="s">
        <v>49</v>
      </c>
      <c r="B185" s="20" t="s">
        <v>415</v>
      </c>
      <c r="C185" s="21" t="s">
        <v>416</v>
      </c>
      <c r="D185" s="21" t="s">
        <v>65</v>
      </c>
      <c r="E185" s="22"/>
    </row>
    <row r="186" spans="1:5" ht="15">
      <c r="A186" s="19" t="s">
        <v>49</v>
      </c>
      <c r="B186" s="20" t="s">
        <v>417</v>
      </c>
      <c r="C186" s="21" t="s">
        <v>418</v>
      </c>
      <c r="D186" s="21" t="s">
        <v>65</v>
      </c>
      <c r="E186" s="22"/>
    </row>
    <row r="187" spans="1:5" ht="15">
      <c r="A187" s="19" t="s">
        <v>49</v>
      </c>
      <c r="B187" s="20" t="s">
        <v>419</v>
      </c>
      <c r="C187" s="21" t="s">
        <v>420</v>
      </c>
      <c r="D187" s="21" t="s">
        <v>65</v>
      </c>
      <c r="E187" s="22"/>
    </row>
    <row r="188" spans="1:5" ht="15">
      <c r="A188" s="19" t="s">
        <v>49</v>
      </c>
      <c r="B188" s="20" t="s">
        <v>421</v>
      </c>
      <c r="C188" s="21" t="s">
        <v>422</v>
      </c>
      <c r="D188" s="21" t="s">
        <v>65</v>
      </c>
      <c r="E188" s="22"/>
    </row>
    <row r="189" spans="1:5" ht="15">
      <c r="A189" s="19" t="s">
        <v>49</v>
      </c>
      <c r="B189" s="20" t="s">
        <v>423</v>
      </c>
      <c r="C189" s="21" t="s">
        <v>424</v>
      </c>
      <c r="D189" s="21" t="s">
        <v>65</v>
      </c>
      <c r="E189" s="22"/>
    </row>
    <row r="190" spans="1:5" ht="15">
      <c r="A190" s="19" t="s">
        <v>49</v>
      </c>
      <c r="B190" s="20" t="s">
        <v>425</v>
      </c>
      <c r="C190" s="21" t="s">
        <v>426</v>
      </c>
      <c r="D190" s="21" t="s">
        <v>65</v>
      </c>
      <c r="E190" s="22"/>
    </row>
    <row r="191" spans="1:5" ht="15">
      <c r="A191" s="19" t="s">
        <v>49</v>
      </c>
      <c r="B191" s="20" t="s">
        <v>427</v>
      </c>
      <c r="C191" s="21" t="s">
        <v>428</v>
      </c>
      <c r="D191" s="21" t="s">
        <v>65</v>
      </c>
      <c r="E191" s="22"/>
    </row>
    <row r="192" spans="1:5" ht="15">
      <c r="A192" s="19" t="s">
        <v>49</v>
      </c>
      <c r="B192" s="20" t="s">
        <v>429</v>
      </c>
      <c r="C192" s="21" t="s">
        <v>430</v>
      </c>
      <c r="D192" s="21" t="s">
        <v>65</v>
      </c>
      <c r="E192" s="22"/>
    </row>
    <row r="193" spans="1:5" ht="15">
      <c r="A193" s="19" t="s">
        <v>49</v>
      </c>
      <c r="B193" s="20" t="s">
        <v>431</v>
      </c>
      <c r="C193" s="21" t="s">
        <v>432</v>
      </c>
      <c r="D193" s="21" t="s">
        <v>65</v>
      </c>
      <c r="E193" s="22"/>
    </row>
    <row r="194" spans="1:5" ht="15">
      <c r="A194" s="19" t="s">
        <v>49</v>
      </c>
      <c r="B194" s="20" t="s">
        <v>433</v>
      </c>
      <c r="C194" s="21" t="s">
        <v>434</v>
      </c>
      <c r="D194" s="21" t="s">
        <v>65</v>
      </c>
      <c r="E194" s="22"/>
    </row>
    <row r="195" spans="1:5" ht="15">
      <c r="A195" s="19" t="s">
        <v>49</v>
      </c>
      <c r="B195" s="20" t="s">
        <v>435</v>
      </c>
      <c r="C195" s="21" t="s">
        <v>436</v>
      </c>
      <c r="D195" s="21" t="s">
        <v>65</v>
      </c>
      <c r="E195" s="22"/>
    </row>
    <row r="196" spans="1:5" ht="15">
      <c r="A196" s="19" t="s">
        <v>49</v>
      </c>
      <c r="B196" s="20" t="s">
        <v>437</v>
      </c>
      <c r="C196" s="21" t="s">
        <v>438</v>
      </c>
      <c r="D196" s="21" t="s">
        <v>97</v>
      </c>
      <c r="E196" s="22" t="s">
        <v>98</v>
      </c>
    </row>
    <row r="197" spans="1:5" ht="15">
      <c r="A197" s="19" t="s">
        <v>49</v>
      </c>
      <c r="B197" s="20" t="s">
        <v>439</v>
      </c>
      <c r="C197" s="21" t="s">
        <v>440</v>
      </c>
      <c r="D197" s="21" t="s">
        <v>97</v>
      </c>
      <c r="E197" s="22"/>
    </row>
    <row r="198" spans="1:5" ht="15">
      <c r="A198" s="19" t="s">
        <v>49</v>
      </c>
      <c r="B198" s="20" t="s">
        <v>441</v>
      </c>
      <c r="C198" s="21" t="s">
        <v>442</v>
      </c>
      <c r="D198" s="21" t="s">
        <v>97</v>
      </c>
      <c r="E198" s="22"/>
    </row>
    <row r="199" spans="1:5" ht="15">
      <c r="A199" s="19" t="s">
        <v>49</v>
      </c>
      <c r="B199" s="20" t="s">
        <v>443</v>
      </c>
      <c r="C199" s="21" t="s">
        <v>444</v>
      </c>
      <c r="D199" s="21" t="s">
        <v>97</v>
      </c>
      <c r="E199" s="22"/>
    </row>
    <row r="200" spans="1:5" ht="15">
      <c r="A200" s="19" t="s">
        <v>49</v>
      </c>
      <c r="B200" s="20" t="s">
        <v>445</v>
      </c>
      <c r="C200" s="21" t="s">
        <v>446</v>
      </c>
      <c r="D200" s="21" t="s">
        <v>97</v>
      </c>
      <c r="E200" s="22"/>
    </row>
    <row r="201" spans="1:5" ht="15">
      <c r="A201" s="19" t="s">
        <v>49</v>
      </c>
      <c r="B201" s="20" t="s">
        <v>447</v>
      </c>
      <c r="C201" s="21" t="s">
        <v>448</v>
      </c>
      <c r="D201" s="21" t="s">
        <v>97</v>
      </c>
      <c r="E201" s="22"/>
    </row>
    <row r="202" spans="1:5" ht="15">
      <c r="A202" s="19" t="s">
        <v>49</v>
      </c>
      <c r="B202" s="20" t="s">
        <v>449</v>
      </c>
      <c r="C202" s="21" t="s">
        <v>450</v>
      </c>
      <c r="D202" s="21" t="s">
        <v>97</v>
      </c>
      <c r="E202" s="22"/>
    </row>
    <row r="203" spans="1:5" ht="15">
      <c r="A203" s="19" t="s">
        <v>49</v>
      </c>
      <c r="B203" s="20" t="s">
        <v>451</v>
      </c>
      <c r="C203" s="21" t="s">
        <v>452</v>
      </c>
      <c r="D203" s="21" t="s">
        <v>65</v>
      </c>
      <c r="E203" s="22"/>
    </row>
    <row r="204" spans="1:5" ht="15">
      <c r="A204" s="19" t="s">
        <v>49</v>
      </c>
      <c r="B204" s="20" t="s">
        <v>453</v>
      </c>
      <c r="C204" s="21"/>
      <c r="D204" s="21"/>
      <c r="E204" s="22"/>
    </row>
    <row r="205" spans="1:5" ht="15">
      <c r="A205" s="23" t="s">
        <v>49</v>
      </c>
      <c r="B205" s="24" t="s">
        <v>454</v>
      </c>
      <c r="C205" s="25"/>
      <c r="D205" s="25"/>
      <c r="E205" s="26"/>
    </row>
  </sheetData>
  <mergeCells count="2">
    <mergeCell ref="A1:E2"/>
    <mergeCell ref="A3:E3"/>
  </mergeCells>
  <dataValidations count="1">
    <dataValidation type="list" sqref="D6:D205" xr:uid="{00000000-0002-0000-0200-000000000000}">
      <formula1>"Male,Female"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85"/>
  <sheetViews>
    <sheetView showGridLines="0" tabSelected="1" workbookViewId="0">
      <selection activeCell="F138" sqref="F138"/>
    </sheetView>
  </sheetViews>
  <sheetFormatPr defaultRowHeight="14.25"/>
  <cols>
    <col min="1" max="1" width="10" customWidth="1"/>
    <col min="2" max="2" width="19" customWidth="1"/>
    <col min="3" max="3" width="17" customWidth="1"/>
    <col min="4" max="4" width="18" customWidth="1"/>
    <col min="5" max="5" width="11" customWidth="1"/>
    <col min="6" max="6" width="29" customWidth="1"/>
    <col min="7" max="8" width="11" customWidth="1"/>
    <col min="9" max="9" width="14" customWidth="1"/>
    <col min="10" max="10" width="16" customWidth="1"/>
    <col min="11" max="12" width="12" customWidth="1"/>
    <col min="13" max="13" width="11" customWidth="1"/>
    <col min="14" max="14" width="12" customWidth="1"/>
    <col min="15" max="15" width="26" customWidth="1"/>
  </cols>
  <sheetData>
    <row r="1" spans="1:15" ht="33.950000000000003" customHeight="1">
      <c r="A1" s="68" t="s">
        <v>455</v>
      </c>
      <c r="B1" s="68" t="s">
        <v>455</v>
      </c>
      <c r="C1" s="68" t="s">
        <v>455</v>
      </c>
      <c r="D1" s="68" t="s">
        <v>455</v>
      </c>
      <c r="E1" s="68" t="s">
        <v>455</v>
      </c>
      <c r="F1" s="68" t="s">
        <v>455</v>
      </c>
      <c r="G1" s="68" t="s">
        <v>455</v>
      </c>
      <c r="H1" s="68" t="s">
        <v>455</v>
      </c>
      <c r="I1" s="68" t="s">
        <v>455</v>
      </c>
      <c r="J1" s="68" t="s">
        <v>455</v>
      </c>
      <c r="K1" s="68" t="s">
        <v>455</v>
      </c>
      <c r="L1" s="68" t="s">
        <v>455</v>
      </c>
      <c r="M1" s="68" t="s">
        <v>455</v>
      </c>
      <c r="N1" s="68" t="s">
        <v>455</v>
      </c>
      <c r="O1" s="68" t="s">
        <v>455</v>
      </c>
    </row>
    <row r="2" spans="1:15" ht="33.950000000000003" customHeight="1">
      <c r="A2" s="68" t="s">
        <v>455</v>
      </c>
      <c r="B2" s="68" t="s">
        <v>455</v>
      </c>
      <c r="C2" s="68" t="s">
        <v>455</v>
      </c>
      <c r="D2" s="68" t="s">
        <v>455</v>
      </c>
      <c r="E2" s="68" t="s">
        <v>455</v>
      </c>
      <c r="F2" s="68" t="s">
        <v>455</v>
      </c>
      <c r="G2" s="68" t="s">
        <v>455</v>
      </c>
      <c r="H2" s="68" t="s">
        <v>455</v>
      </c>
      <c r="I2" s="68" t="s">
        <v>455</v>
      </c>
      <c r="J2" s="68" t="s">
        <v>455</v>
      </c>
      <c r="K2" s="68" t="s">
        <v>455</v>
      </c>
      <c r="L2" s="68" t="s">
        <v>455</v>
      </c>
      <c r="M2" s="68" t="s">
        <v>455</v>
      </c>
      <c r="N2" s="68" t="s">
        <v>455</v>
      </c>
      <c r="O2" s="68" t="s">
        <v>455</v>
      </c>
    </row>
    <row r="3" spans="1:15" ht="15">
      <c r="A3" s="73" t="s">
        <v>537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</row>
    <row r="4" spans="1:15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">
      <c r="A5" s="27" t="s">
        <v>456</v>
      </c>
      <c r="B5" s="28" t="s">
        <v>457</v>
      </c>
      <c r="C5" s="28" t="s">
        <v>458</v>
      </c>
      <c r="D5" s="28" t="s">
        <v>459</v>
      </c>
      <c r="E5" s="28" t="s">
        <v>460</v>
      </c>
      <c r="F5" s="28" t="s">
        <v>461</v>
      </c>
      <c r="G5" s="28" t="s">
        <v>462</v>
      </c>
      <c r="H5" s="28" t="s">
        <v>463</v>
      </c>
      <c r="I5" s="28" t="s">
        <v>464</v>
      </c>
      <c r="J5" s="28" t="s">
        <v>465</v>
      </c>
      <c r="K5" s="28" t="s">
        <v>466</v>
      </c>
      <c r="L5" s="28" t="s">
        <v>467</v>
      </c>
      <c r="M5" s="28" t="s">
        <v>468</v>
      </c>
      <c r="N5" s="28" t="s">
        <v>469</v>
      </c>
      <c r="O5" s="29" t="s">
        <v>62</v>
      </c>
    </row>
    <row r="6" spans="1:15" ht="15">
      <c r="A6" s="30">
        <v>1</v>
      </c>
      <c r="B6" s="31" t="s">
        <v>470</v>
      </c>
      <c r="C6" s="31" t="s">
        <v>471</v>
      </c>
      <c r="D6" s="31" t="s">
        <v>472</v>
      </c>
      <c r="E6" s="31" t="s">
        <v>473</v>
      </c>
      <c r="F6" s="31" t="s">
        <v>474</v>
      </c>
      <c r="G6" s="32" t="s">
        <v>42</v>
      </c>
      <c r="H6" s="32" t="s">
        <v>43</v>
      </c>
      <c r="I6" s="32" t="s">
        <v>43</v>
      </c>
      <c r="J6" s="31" t="str">
        <f t="shared" ref="J6:J37" si="0">IF(I6="","PENDING",IF(OR(I6=G6,I6=H6),"VALID","CHECK WINNER"))</f>
        <v>VALID</v>
      </c>
      <c r="K6" s="45"/>
      <c r="L6" s="45"/>
      <c r="M6" s="31" t="str">
        <f t="shared" ref="M6:M37" si="1">IF(J6="VALID",IF(I6=G6,H6,G6),"")</f>
        <v>A1</v>
      </c>
      <c r="N6" s="31" t="str">
        <f t="shared" ref="N6:N37" si="2">IF(J6="VALID","YES","NO")</f>
        <v>YES</v>
      </c>
      <c r="O6" s="33"/>
    </row>
    <row r="7" spans="1:15" ht="15">
      <c r="A7" s="30">
        <v>2</v>
      </c>
      <c r="B7" s="31" t="s">
        <v>470</v>
      </c>
      <c r="C7" s="31" t="s">
        <v>471</v>
      </c>
      <c r="D7" s="31" t="s">
        <v>475</v>
      </c>
      <c r="E7" s="31" t="s">
        <v>473</v>
      </c>
      <c r="F7" s="31" t="s">
        <v>476</v>
      </c>
      <c r="G7" s="32" t="s">
        <v>44</v>
      </c>
      <c r="H7" s="32" t="s">
        <v>45</v>
      </c>
      <c r="I7" s="32" t="s">
        <v>45</v>
      </c>
      <c r="J7" s="31" t="str">
        <f t="shared" si="0"/>
        <v>VALID</v>
      </c>
      <c r="K7" s="45"/>
      <c r="L7" s="45"/>
      <c r="M7" s="31" t="str">
        <f t="shared" si="1"/>
        <v>A3</v>
      </c>
      <c r="N7" s="31" t="str">
        <f t="shared" si="2"/>
        <v>YES</v>
      </c>
      <c r="O7" s="33"/>
    </row>
    <row r="8" spans="1:15" ht="15">
      <c r="A8" s="30">
        <v>3</v>
      </c>
      <c r="B8" s="31" t="s">
        <v>470</v>
      </c>
      <c r="C8" s="31" t="s">
        <v>471</v>
      </c>
      <c r="D8" s="31" t="s">
        <v>477</v>
      </c>
      <c r="E8" s="31" t="s">
        <v>473</v>
      </c>
      <c r="F8" s="31" t="s">
        <v>478</v>
      </c>
      <c r="G8" s="32" t="s">
        <v>46</v>
      </c>
      <c r="H8" s="32" t="s">
        <v>49</v>
      </c>
      <c r="I8" s="32" t="s">
        <v>49</v>
      </c>
      <c r="J8" s="31" t="str">
        <f t="shared" si="0"/>
        <v>VALID</v>
      </c>
      <c r="K8" s="45"/>
      <c r="L8" s="45"/>
      <c r="M8" s="31" t="str">
        <f t="shared" si="1"/>
        <v>B1</v>
      </c>
      <c r="N8" s="31" t="str">
        <f t="shared" si="2"/>
        <v>YES</v>
      </c>
      <c r="O8" s="33"/>
    </row>
    <row r="9" spans="1:15" ht="15">
      <c r="A9" s="30">
        <v>4</v>
      </c>
      <c r="B9" s="31" t="s">
        <v>470</v>
      </c>
      <c r="C9" s="31" t="s">
        <v>479</v>
      </c>
      <c r="D9" s="31" t="s">
        <v>475</v>
      </c>
      <c r="E9" s="31" t="s">
        <v>473</v>
      </c>
      <c r="F9" s="31" t="s">
        <v>480</v>
      </c>
      <c r="G9" s="32" t="s">
        <v>42</v>
      </c>
      <c r="H9" s="32" t="s">
        <v>45</v>
      </c>
      <c r="I9" s="32" t="s">
        <v>45</v>
      </c>
      <c r="J9" s="31" t="str">
        <f t="shared" si="0"/>
        <v>VALID</v>
      </c>
      <c r="K9" s="45"/>
      <c r="L9" s="45"/>
      <c r="M9" s="31" t="str">
        <f t="shared" si="1"/>
        <v>A1</v>
      </c>
      <c r="N9" s="31" t="str">
        <f t="shared" si="2"/>
        <v>YES</v>
      </c>
      <c r="O9" s="33"/>
    </row>
    <row r="10" spans="1:15" ht="15">
      <c r="A10" s="30">
        <v>5</v>
      </c>
      <c r="B10" s="31" t="s">
        <v>470</v>
      </c>
      <c r="C10" s="31" t="s">
        <v>479</v>
      </c>
      <c r="D10" s="31" t="s">
        <v>477</v>
      </c>
      <c r="E10" s="31" t="s">
        <v>473</v>
      </c>
      <c r="F10" s="31" t="s">
        <v>481</v>
      </c>
      <c r="G10" s="32" t="s">
        <v>43</v>
      </c>
      <c r="H10" s="32" t="s">
        <v>44</v>
      </c>
      <c r="I10" s="32" t="s">
        <v>44</v>
      </c>
      <c r="J10" s="31" t="str">
        <f t="shared" si="0"/>
        <v>VALID</v>
      </c>
      <c r="K10" s="45"/>
      <c r="L10" s="45"/>
      <c r="M10" s="31" t="str">
        <f t="shared" si="1"/>
        <v>A2</v>
      </c>
      <c r="N10" s="31" t="str">
        <f t="shared" si="2"/>
        <v>YES</v>
      </c>
      <c r="O10" s="33"/>
    </row>
    <row r="11" spans="1:15" ht="15">
      <c r="A11" s="30">
        <v>6</v>
      </c>
      <c r="B11" s="31" t="s">
        <v>470</v>
      </c>
      <c r="C11" s="31" t="s">
        <v>479</v>
      </c>
      <c r="D11" s="31" t="s">
        <v>472</v>
      </c>
      <c r="E11" s="31" t="s">
        <v>473</v>
      </c>
      <c r="F11" s="31" t="s">
        <v>482</v>
      </c>
      <c r="G11" s="32" t="s">
        <v>47</v>
      </c>
      <c r="H11" s="32" t="s">
        <v>48</v>
      </c>
      <c r="I11" s="32" t="s">
        <v>48</v>
      </c>
      <c r="J11" s="31" t="str">
        <f t="shared" si="0"/>
        <v>VALID</v>
      </c>
      <c r="K11" s="45"/>
      <c r="L11" s="45"/>
      <c r="M11" s="31" t="str">
        <f t="shared" si="1"/>
        <v>B2</v>
      </c>
      <c r="N11" s="31" t="str">
        <f t="shared" si="2"/>
        <v>YES</v>
      </c>
      <c r="O11" s="33"/>
    </row>
    <row r="12" spans="1:15" ht="15">
      <c r="A12" s="30">
        <v>7</v>
      </c>
      <c r="B12" s="31" t="s">
        <v>470</v>
      </c>
      <c r="C12" s="31" t="s">
        <v>483</v>
      </c>
      <c r="D12" s="31" t="s">
        <v>472</v>
      </c>
      <c r="E12" s="31" t="s">
        <v>473</v>
      </c>
      <c r="F12" s="31" t="s">
        <v>484</v>
      </c>
      <c r="G12" s="32" t="s">
        <v>46</v>
      </c>
      <c r="H12" s="32" t="s">
        <v>47</v>
      </c>
      <c r="I12" s="32" t="s">
        <v>47</v>
      </c>
      <c r="J12" s="31" t="str">
        <f t="shared" si="0"/>
        <v>VALID</v>
      </c>
      <c r="K12" s="45"/>
      <c r="L12" s="45"/>
      <c r="M12" s="31" t="str">
        <f t="shared" si="1"/>
        <v>B1</v>
      </c>
      <c r="N12" s="31" t="str">
        <f t="shared" si="2"/>
        <v>YES</v>
      </c>
      <c r="O12" s="33"/>
    </row>
    <row r="13" spans="1:15" ht="15">
      <c r="A13" s="30">
        <v>8</v>
      </c>
      <c r="B13" s="31" t="s">
        <v>470</v>
      </c>
      <c r="C13" s="31" t="s">
        <v>483</v>
      </c>
      <c r="D13" s="31" t="s">
        <v>477</v>
      </c>
      <c r="E13" s="31" t="s">
        <v>473</v>
      </c>
      <c r="F13" s="31" t="s">
        <v>485</v>
      </c>
      <c r="G13" s="32" t="s">
        <v>48</v>
      </c>
      <c r="H13" s="32" t="s">
        <v>49</v>
      </c>
      <c r="I13" s="32" t="s">
        <v>49</v>
      </c>
      <c r="J13" s="31" t="str">
        <f t="shared" si="0"/>
        <v>VALID</v>
      </c>
      <c r="K13" s="45"/>
      <c r="L13" s="45"/>
      <c r="M13" s="31" t="str">
        <f t="shared" si="1"/>
        <v>B3</v>
      </c>
      <c r="N13" s="31" t="str">
        <f t="shared" si="2"/>
        <v>YES</v>
      </c>
      <c r="O13" s="33"/>
    </row>
    <row r="14" spans="1:15" ht="15">
      <c r="A14" s="30">
        <v>9</v>
      </c>
      <c r="B14" s="31" t="s">
        <v>470</v>
      </c>
      <c r="C14" s="31" t="s">
        <v>486</v>
      </c>
      <c r="D14" s="31" t="s">
        <v>475</v>
      </c>
      <c r="E14" s="31" t="s">
        <v>473</v>
      </c>
      <c r="F14" s="31" t="s">
        <v>487</v>
      </c>
      <c r="G14" s="32" t="s">
        <v>42</v>
      </c>
      <c r="H14" s="32" t="s">
        <v>44</v>
      </c>
      <c r="I14" s="32" t="s">
        <v>44</v>
      </c>
      <c r="J14" s="31" t="str">
        <f t="shared" si="0"/>
        <v>VALID</v>
      </c>
      <c r="K14" s="45"/>
      <c r="L14" s="45"/>
      <c r="M14" s="31" t="str">
        <f t="shared" si="1"/>
        <v>A1</v>
      </c>
      <c r="N14" s="31" t="str">
        <f t="shared" si="2"/>
        <v>YES</v>
      </c>
      <c r="O14" s="33"/>
    </row>
    <row r="15" spans="1:15" ht="15">
      <c r="A15" s="30">
        <v>10</v>
      </c>
      <c r="B15" s="31" t="s">
        <v>470</v>
      </c>
      <c r="C15" s="31" t="s">
        <v>486</v>
      </c>
      <c r="D15" s="31" t="s">
        <v>472</v>
      </c>
      <c r="E15" s="31" t="s">
        <v>473</v>
      </c>
      <c r="F15" s="31" t="s">
        <v>488</v>
      </c>
      <c r="G15" s="32" t="s">
        <v>43</v>
      </c>
      <c r="H15" s="32" t="s">
        <v>45</v>
      </c>
      <c r="I15" s="32" t="s">
        <v>45</v>
      </c>
      <c r="J15" s="31" t="str">
        <f t="shared" si="0"/>
        <v>VALID</v>
      </c>
      <c r="K15" s="45"/>
      <c r="L15" s="45"/>
      <c r="M15" s="31" t="str">
        <f t="shared" si="1"/>
        <v>A2</v>
      </c>
      <c r="N15" s="31" t="str">
        <f t="shared" si="2"/>
        <v>YES</v>
      </c>
      <c r="O15" s="33"/>
    </row>
    <row r="16" spans="1:15" ht="15">
      <c r="A16" s="30">
        <v>11</v>
      </c>
      <c r="B16" s="31" t="s">
        <v>470</v>
      </c>
      <c r="C16" s="31" t="s">
        <v>486</v>
      </c>
      <c r="D16" s="31" t="s">
        <v>477</v>
      </c>
      <c r="E16" s="31" t="s">
        <v>473</v>
      </c>
      <c r="F16" s="31" t="s">
        <v>489</v>
      </c>
      <c r="G16" s="32" t="s">
        <v>47</v>
      </c>
      <c r="H16" s="32" t="s">
        <v>49</v>
      </c>
      <c r="I16" s="32" t="s">
        <v>49</v>
      </c>
      <c r="J16" s="31" t="str">
        <f t="shared" si="0"/>
        <v>VALID</v>
      </c>
      <c r="K16" s="45"/>
      <c r="L16" s="45"/>
      <c r="M16" s="31" t="str">
        <f t="shared" si="1"/>
        <v>B2</v>
      </c>
      <c r="N16" s="31" t="str">
        <f t="shared" si="2"/>
        <v>YES</v>
      </c>
      <c r="O16" s="33"/>
    </row>
    <row r="17" spans="1:15" ht="15">
      <c r="A17" s="30">
        <v>12</v>
      </c>
      <c r="B17" s="31" t="s">
        <v>470</v>
      </c>
      <c r="C17" s="31" t="s">
        <v>490</v>
      </c>
      <c r="D17" s="31" t="s">
        <v>491</v>
      </c>
      <c r="E17" s="31" t="s">
        <v>473</v>
      </c>
      <c r="F17" s="31" t="s">
        <v>492</v>
      </c>
      <c r="G17" s="32" t="s">
        <v>46</v>
      </c>
      <c r="H17" s="32" t="s">
        <v>48</v>
      </c>
      <c r="I17" s="32" t="s">
        <v>48</v>
      </c>
      <c r="J17" s="31" t="str">
        <f t="shared" si="0"/>
        <v>VALID</v>
      </c>
      <c r="K17" s="45"/>
      <c r="L17" s="45"/>
      <c r="M17" s="31" t="str">
        <f t="shared" si="1"/>
        <v>B1</v>
      </c>
      <c r="N17" s="31" t="str">
        <f t="shared" si="2"/>
        <v>YES</v>
      </c>
      <c r="O17" s="33"/>
    </row>
    <row r="18" spans="1:15" ht="15">
      <c r="A18" s="30">
        <v>13</v>
      </c>
      <c r="B18" s="31" t="s">
        <v>493</v>
      </c>
      <c r="C18" s="31" t="s">
        <v>471</v>
      </c>
      <c r="D18" s="31" t="s">
        <v>475</v>
      </c>
      <c r="E18" s="31" t="s">
        <v>473</v>
      </c>
      <c r="F18" s="31" t="s">
        <v>474</v>
      </c>
      <c r="G18" s="32" t="s">
        <v>42</v>
      </c>
      <c r="H18" s="32" t="s">
        <v>43</v>
      </c>
      <c r="I18" s="32" t="s">
        <v>43</v>
      </c>
      <c r="J18" s="31" t="str">
        <f t="shared" si="0"/>
        <v>VALID</v>
      </c>
      <c r="K18" s="45"/>
      <c r="L18" s="45"/>
      <c r="M18" s="31" t="str">
        <f t="shared" si="1"/>
        <v>A1</v>
      </c>
      <c r="N18" s="31" t="str">
        <f t="shared" si="2"/>
        <v>YES</v>
      </c>
      <c r="O18" s="33"/>
    </row>
    <row r="19" spans="1:15" ht="15">
      <c r="A19" s="30">
        <v>14</v>
      </c>
      <c r="B19" s="31" t="s">
        <v>493</v>
      </c>
      <c r="C19" s="31" t="s">
        <v>471</v>
      </c>
      <c r="D19" s="31" t="s">
        <v>477</v>
      </c>
      <c r="E19" s="31" t="s">
        <v>473</v>
      </c>
      <c r="F19" s="31" t="s">
        <v>476</v>
      </c>
      <c r="G19" s="32" t="s">
        <v>44</v>
      </c>
      <c r="H19" s="32" t="s">
        <v>45</v>
      </c>
      <c r="I19" s="32" t="s">
        <v>45</v>
      </c>
      <c r="J19" s="31" t="str">
        <f t="shared" si="0"/>
        <v>VALID</v>
      </c>
      <c r="K19" s="45"/>
      <c r="L19" s="45"/>
      <c r="M19" s="31" t="str">
        <f t="shared" si="1"/>
        <v>A3</v>
      </c>
      <c r="N19" s="31" t="str">
        <f t="shared" si="2"/>
        <v>YES</v>
      </c>
      <c r="O19" s="33"/>
    </row>
    <row r="20" spans="1:15" ht="15">
      <c r="A20" s="30">
        <v>15</v>
      </c>
      <c r="B20" s="31" t="s">
        <v>493</v>
      </c>
      <c r="C20" s="31" t="s">
        <v>471</v>
      </c>
      <c r="D20" s="31" t="s">
        <v>472</v>
      </c>
      <c r="E20" s="31" t="s">
        <v>473</v>
      </c>
      <c r="F20" s="31" t="s">
        <v>492</v>
      </c>
      <c r="G20" s="32" t="s">
        <v>46</v>
      </c>
      <c r="H20" s="32" t="s">
        <v>48</v>
      </c>
      <c r="I20" s="32" t="s">
        <v>48</v>
      </c>
      <c r="J20" s="31" t="str">
        <f t="shared" si="0"/>
        <v>VALID</v>
      </c>
      <c r="K20" s="45"/>
      <c r="L20" s="45"/>
      <c r="M20" s="31" t="str">
        <f t="shared" si="1"/>
        <v>B1</v>
      </c>
      <c r="N20" s="31" t="str">
        <f t="shared" si="2"/>
        <v>YES</v>
      </c>
      <c r="O20" s="33"/>
    </row>
    <row r="21" spans="1:15" ht="15">
      <c r="A21" s="30">
        <v>16</v>
      </c>
      <c r="B21" s="31" t="s">
        <v>493</v>
      </c>
      <c r="C21" s="31" t="s">
        <v>479</v>
      </c>
      <c r="D21" s="31" t="s">
        <v>477</v>
      </c>
      <c r="E21" s="31" t="s">
        <v>473</v>
      </c>
      <c r="F21" s="31" t="s">
        <v>480</v>
      </c>
      <c r="G21" s="32" t="s">
        <v>42</v>
      </c>
      <c r="H21" s="32" t="s">
        <v>45</v>
      </c>
      <c r="I21" s="32" t="s">
        <v>45</v>
      </c>
      <c r="J21" s="31" t="str">
        <f t="shared" si="0"/>
        <v>VALID</v>
      </c>
      <c r="K21" s="45"/>
      <c r="L21" s="45"/>
      <c r="M21" s="31" t="str">
        <f t="shared" si="1"/>
        <v>A1</v>
      </c>
      <c r="N21" s="31" t="str">
        <f t="shared" si="2"/>
        <v>YES</v>
      </c>
      <c r="O21" s="33"/>
    </row>
    <row r="22" spans="1:15" ht="15">
      <c r="A22" s="30">
        <v>17</v>
      </c>
      <c r="B22" s="31" t="s">
        <v>493</v>
      </c>
      <c r="C22" s="31" t="s">
        <v>479</v>
      </c>
      <c r="D22" s="31" t="s">
        <v>472</v>
      </c>
      <c r="E22" s="31" t="s">
        <v>473</v>
      </c>
      <c r="F22" s="31" t="s">
        <v>478</v>
      </c>
      <c r="G22" s="32" t="s">
        <v>46</v>
      </c>
      <c r="H22" s="32" t="s">
        <v>49</v>
      </c>
      <c r="I22" s="32" t="s">
        <v>49</v>
      </c>
      <c r="J22" s="31" t="str">
        <f t="shared" si="0"/>
        <v>VALID</v>
      </c>
      <c r="K22" s="45"/>
      <c r="L22" s="45"/>
      <c r="M22" s="31" t="str">
        <f t="shared" si="1"/>
        <v>B1</v>
      </c>
      <c r="N22" s="31" t="str">
        <f t="shared" si="2"/>
        <v>YES</v>
      </c>
      <c r="O22" s="33"/>
    </row>
    <row r="23" spans="1:15" ht="15">
      <c r="A23" s="30">
        <v>18</v>
      </c>
      <c r="B23" s="31" t="s">
        <v>493</v>
      </c>
      <c r="C23" s="31" t="s">
        <v>479</v>
      </c>
      <c r="D23" s="31" t="s">
        <v>475</v>
      </c>
      <c r="E23" s="31" t="s">
        <v>473</v>
      </c>
      <c r="F23" s="31" t="s">
        <v>482</v>
      </c>
      <c r="G23" s="32" t="s">
        <v>47</v>
      </c>
      <c r="H23" s="32" t="s">
        <v>48</v>
      </c>
      <c r="I23" s="32" t="s">
        <v>48</v>
      </c>
      <c r="J23" s="31" t="str">
        <f t="shared" si="0"/>
        <v>VALID</v>
      </c>
      <c r="K23" s="45"/>
      <c r="L23" s="45"/>
      <c r="M23" s="31" t="str">
        <f t="shared" si="1"/>
        <v>B2</v>
      </c>
      <c r="N23" s="31" t="str">
        <f t="shared" si="2"/>
        <v>YES</v>
      </c>
      <c r="O23" s="33"/>
    </row>
    <row r="24" spans="1:15" ht="15">
      <c r="A24" s="30">
        <v>19</v>
      </c>
      <c r="B24" s="31" t="s">
        <v>493</v>
      </c>
      <c r="C24" s="31" t="s">
        <v>483</v>
      </c>
      <c r="D24" s="31" t="s">
        <v>472</v>
      </c>
      <c r="E24" s="31" t="s">
        <v>473</v>
      </c>
      <c r="F24" s="31" t="s">
        <v>481</v>
      </c>
      <c r="G24" s="32" t="s">
        <v>43</v>
      </c>
      <c r="H24" s="32" t="s">
        <v>44</v>
      </c>
      <c r="I24" s="32" t="s">
        <v>44</v>
      </c>
      <c r="J24" s="31" t="str">
        <f t="shared" si="0"/>
        <v>VALID</v>
      </c>
      <c r="K24" s="45"/>
      <c r="L24" s="45"/>
      <c r="M24" s="31" t="str">
        <f t="shared" si="1"/>
        <v>A2</v>
      </c>
      <c r="N24" s="31" t="str">
        <f t="shared" si="2"/>
        <v>YES</v>
      </c>
      <c r="O24" s="33"/>
    </row>
    <row r="25" spans="1:15" ht="15">
      <c r="A25" s="30">
        <v>20</v>
      </c>
      <c r="B25" s="31" t="s">
        <v>493</v>
      </c>
      <c r="C25" s="31" t="s">
        <v>483</v>
      </c>
      <c r="D25" s="31" t="s">
        <v>477</v>
      </c>
      <c r="E25" s="31" t="s">
        <v>473</v>
      </c>
      <c r="F25" s="31" t="s">
        <v>484</v>
      </c>
      <c r="G25" s="32" t="s">
        <v>46</v>
      </c>
      <c r="H25" s="32" t="s">
        <v>47</v>
      </c>
      <c r="I25" s="32" t="s">
        <v>47</v>
      </c>
      <c r="J25" s="31" t="str">
        <f t="shared" si="0"/>
        <v>VALID</v>
      </c>
      <c r="K25" s="45"/>
      <c r="L25" s="45"/>
      <c r="M25" s="31" t="str">
        <f t="shared" si="1"/>
        <v>B1</v>
      </c>
      <c r="N25" s="31" t="str">
        <f t="shared" si="2"/>
        <v>YES</v>
      </c>
      <c r="O25" s="33"/>
    </row>
    <row r="26" spans="1:15" ht="15">
      <c r="A26" s="30">
        <v>21</v>
      </c>
      <c r="B26" s="31" t="s">
        <v>493</v>
      </c>
      <c r="C26" s="31" t="s">
        <v>486</v>
      </c>
      <c r="D26" s="31" t="s">
        <v>477</v>
      </c>
      <c r="E26" s="31" t="s">
        <v>473</v>
      </c>
      <c r="F26" s="31" t="s">
        <v>487</v>
      </c>
      <c r="G26" s="32" t="s">
        <v>42</v>
      </c>
      <c r="H26" s="32" t="s">
        <v>44</v>
      </c>
      <c r="I26" s="32" t="s">
        <v>44</v>
      </c>
      <c r="J26" s="31" t="str">
        <f t="shared" si="0"/>
        <v>VALID</v>
      </c>
      <c r="K26" s="45"/>
      <c r="L26" s="45"/>
      <c r="M26" s="31" t="str">
        <f t="shared" si="1"/>
        <v>A1</v>
      </c>
      <c r="N26" s="31" t="str">
        <f t="shared" si="2"/>
        <v>YES</v>
      </c>
      <c r="O26" s="33"/>
    </row>
    <row r="27" spans="1:15" ht="15">
      <c r="A27" s="30">
        <v>22</v>
      </c>
      <c r="B27" s="31" t="s">
        <v>493</v>
      </c>
      <c r="C27" s="31" t="s">
        <v>486</v>
      </c>
      <c r="D27" s="31" t="s">
        <v>475</v>
      </c>
      <c r="E27" s="31" t="s">
        <v>473</v>
      </c>
      <c r="F27" s="31" t="s">
        <v>488</v>
      </c>
      <c r="G27" s="32" t="s">
        <v>43</v>
      </c>
      <c r="H27" s="32" t="s">
        <v>45</v>
      </c>
      <c r="I27" s="32" t="s">
        <v>45</v>
      </c>
      <c r="J27" s="31" t="str">
        <f t="shared" si="0"/>
        <v>VALID</v>
      </c>
      <c r="K27" s="45"/>
      <c r="L27" s="45"/>
      <c r="M27" s="31" t="str">
        <f t="shared" si="1"/>
        <v>A2</v>
      </c>
      <c r="N27" s="31" t="str">
        <f t="shared" si="2"/>
        <v>YES</v>
      </c>
      <c r="O27" s="33"/>
    </row>
    <row r="28" spans="1:15" ht="15">
      <c r="A28" s="30">
        <v>23</v>
      </c>
      <c r="B28" s="31" t="s">
        <v>493</v>
      </c>
      <c r="C28" s="31" t="s">
        <v>486</v>
      </c>
      <c r="D28" s="31" t="s">
        <v>472</v>
      </c>
      <c r="E28" s="31" t="s">
        <v>473</v>
      </c>
      <c r="F28" s="31" t="s">
        <v>485</v>
      </c>
      <c r="G28" s="32" t="s">
        <v>48</v>
      </c>
      <c r="H28" s="32" t="s">
        <v>49</v>
      </c>
      <c r="I28" s="32" t="s">
        <v>49</v>
      </c>
      <c r="J28" s="31" t="str">
        <f t="shared" si="0"/>
        <v>VALID</v>
      </c>
      <c r="K28" s="45"/>
      <c r="L28" s="45"/>
      <c r="M28" s="31" t="str">
        <f t="shared" si="1"/>
        <v>B3</v>
      </c>
      <c r="N28" s="31" t="str">
        <f t="shared" si="2"/>
        <v>YES</v>
      </c>
      <c r="O28" s="33"/>
    </row>
    <row r="29" spans="1:15" ht="15">
      <c r="A29" s="30">
        <v>24</v>
      </c>
      <c r="B29" s="31" t="s">
        <v>493</v>
      </c>
      <c r="C29" s="31" t="s">
        <v>490</v>
      </c>
      <c r="D29" s="31" t="s">
        <v>491</v>
      </c>
      <c r="E29" s="31" t="s">
        <v>473</v>
      </c>
      <c r="F29" s="31" t="s">
        <v>489</v>
      </c>
      <c r="G29" s="32" t="s">
        <v>47</v>
      </c>
      <c r="H29" s="32" t="s">
        <v>49</v>
      </c>
      <c r="I29" s="32" t="s">
        <v>49</v>
      </c>
      <c r="J29" s="31" t="str">
        <f t="shared" si="0"/>
        <v>VALID</v>
      </c>
      <c r="K29" s="45"/>
      <c r="L29" s="45"/>
      <c r="M29" s="31" t="str">
        <f t="shared" si="1"/>
        <v>B2</v>
      </c>
      <c r="N29" s="31" t="str">
        <f t="shared" si="2"/>
        <v>YES</v>
      </c>
      <c r="O29" s="33"/>
    </row>
    <row r="30" spans="1:15" ht="15">
      <c r="A30" s="30">
        <v>25</v>
      </c>
      <c r="B30" s="31" t="s">
        <v>494</v>
      </c>
      <c r="C30" s="31" t="s">
        <v>471</v>
      </c>
      <c r="D30" s="31" t="s">
        <v>477</v>
      </c>
      <c r="E30" s="31" t="s">
        <v>473</v>
      </c>
      <c r="F30" s="31" t="s">
        <v>474</v>
      </c>
      <c r="G30" s="32" t="s">
        <v>42</v>
      </c>
      <c r="H30" s="32" t="s">
        <v>43</v>
      </c>
      <c r="I30" s="32" t="s">
        <v>43</v>
      </c>
      <c r="J30" s="31" t="str">
        <f t="shared" si="0"/>
        <v>VALID</v>
      </c>
      <c r="K30" s="45"/>
      <c r="L30" s="45"/>
      <c r="M30" s="31" t="str">
        <f t="shared" si="1"/>
        <v>A1</v>
      </c>
      <c r="N30" s="31" t="str">
        <f t="shared" si="2"/>
        <v>YES</v>
      </c>
      <c r="O30" s="33"/>
    </row>
    <row r="31" spans="1:15" ht="15">
      <c r="A31" s="30">
        <v>26</v>
      </c>
      <c r="B31" s="31" t="s">
        <v>494</v>
      </c>
      <c r="C31" s="31" t="s">
        <v>471</v>
      </c>
      <c r="D31" s="31" t="s">
        <v>475</v>
      </c>
      <c r="E31" s="31" t="s">
        <v>473</v>
      </c>
      <c r="F31" s="31" t="s">
        <v>492</v>
      </c>
      <c r="G31" s="32" t="s">
        <v>46</v>
      </c>
      <c r="H31" s="32" t="s">
        <v>48</v>
      </c>
      <c r="I31" s="32" t="s">
        <v>48</v>
      </c>
      <c r="J31" s="31" t="str">
        <f t="shared" si="0"/>
        <v>VALID</v>
      </c>
      <c r="K31" s="45"/>
      <c r="L31" s="45"/>
      <c r="M31" s="31" t="str">
        <f t="shared" si="1"/>
        <v>B1</v>
      </c>
      <c r="N31" s="31" t="str">
        <f t="shared" si="2"/>
        <v>YES</v>
      </c>
      <c r="O31" s="33"/>
    </row>
    <row r="32" spans="1:15" ht="15">
      <c r="A32" s="30">
        <v>27</v>
      </c>
      <c r="B32" s="31" t="s">
        <v>494</v>
      </c>
      <c r="C32" s="31" t="s">
        <v>471</v>
      </c>
      <c r="D32" s="31" t="s">
        <v>472</v>
      </c>
      <c r="E32" s="31" t="s">
        <v>473</v>
      </c>
      <c r="F32" s="31" t="s">
        <v>489</v>
      </c>
      <c r="G32" s="32" t="s">
        <v>47</v>
      </c>
      <c r="H32" s="32" t="s">
        <v>49</v>
      </c>
      <c r="I32" s="32" t="s">
        <v>49</v>
      </c>
      <c r="J32" s="31" t="str">
        <f t="shared" si="0"/>
        <v>VALID</v>
      </c>
      <c r="K32" s="45"/>
      <c r="L32" s="45"/>
      <c r="M32" s="31" t="str">
        <f t="shared" si="1"/>
        <v>B2</v>
      </c>
      <c r="N32" s="31" t="str">
        <f t="shared" si="2"/>
        <v>YES</v>
      </c>
      <c r="O32" s="33"/>
    </row>
    <row r="33" spans="1:15" ht="15">
      <c r="A33" s="30">
        <v>28</v>
      </c>
      <c r="B33" s="31" t="s">
        <v>494</v>
      </c>
      <c r="C33" s="31" t="s">
        <v>479</v>
      </c>
      <c r="D33" s="31" t="s">
        <v>472</v>
      </c>
      <c r="E33" s="31" t="s">
        <v>473</v>
      </c>
      <c r="F33" s="31" t="s">
        <v>476</v>
      </c>
      <c r="G33" s="32" t="s">
        <v>44</v>
      </c>
      <c r="H33" s="32" t="s">
        <v>45</v>
      </c>
      <c r="I33" s="32" t="s">
        <v>45</v>
      </c>
      <c r="J33" s="31" t="str">
        <f t="shared" si="0"/>
        <v>VALID</v>
      </c>
      <c r="K33" s="45"/>
      <c r="L33" s="45"/>
      <c r="M33" s="31" t="str">
        <f t="shared" si="1"/>
        <v>A3</v>
      </c>
      <c r="N33" s="31" t="str">
        <f t="shared" si="2"/>
        <v>YES</v>
      </c>
      <c r="O33" s="33"/>
    </row>
    <row r="34" spans="1:15" ht="15">
      <c r="A34" s="30">
        <v>29</v>
      </c>
      <c r="B34" s="31" t="s">
        <v>494</v>
      </c>
      <c r="C34" s="31" t="s">
        <v>479</v>
      </c>
      <c r="D34" s="31" t="s">
        <v>475</v>
      </c>
      <c r="E34" s="31" t="s">
        <v>473</v>
      </c>
      <c r="F34" s="31" t="s">
        <v>478</v>
      </c>
      <c r="G34" s="32" t="s">
        <v>46</v>
      </c>
      <c r="H34" s="32" t="s">
        <v>49</v>
      </c>
      <c r="I34" s="32" t="s">
        <v>49</v>
      </c>
      <c r="J34" s="31" t="str">
        <f t="shared" si="0"/>
        <v>VALID</v>
      </c>
      <c r="K34" s="45"/>
      <c r="L34" s="45"/>
      <c r="M34" s="31" t="str">
        <f t="shared" si="1"/>
        <v>B1</v>
      </c>
      <c r="N34" s="31" t="str">
        <f t="shared" si="2"/>
        <v>YES</v>
      </c>
      <c r="O34" s="33"/>
    </row>
    <row r="35" spans="1:15" ht="15">
      <c r="A35" s="30">
        <v>30</v>
      </c>
      <c r="B35" s="31" t="s">
        <v>494</v>
      </c>
      <c r="C35" s="31" t="s">
        <v>479</v>
      </c>
      <c r="D35" s="31" t="s">
        <v>477</v>
      </c>
      <c r="E35" s="31" t="s">
        <v>473</v>
      </c>
      <c r="F35" s="31" t="s">
        <v>482</v>
      </c>
      <c r="G35" s="32" t="s">
        <v>47</v>
      </c>
      <c r="H35" s="32" t="s">
        <v>48</v>
      </c>
      <c r="I35" s="32" t="s">
        <v>48</v>
      </c>
      <c r="J35" s="31" t="str">
        <f t="shared" si="0"/>
        <v>VALID</v>
      </c>
      <c r="K35" s="45"/>
      <c r="L35" s="45"/>
      <c r="M35" s="31" t="str">
        <f t="shared" si="1"/>
        <v>B2</v>
      </c>
      <c r="N35" s="31" t="str">
        <f t="shared" si="2"/>
        <v>YES</v>
      </c>
      <c r="O35" s="33"/>
    </row>
    <row r="36" spans="1:15" ht="15">
      <c r="A36" s="30">
        <v>31</v>
      </c>
      <c r="B36" s="31" t="s">
        <v>494</v>
      </c>
      <c r="C36" s="31" t="s">
        <v>483</v>
      </c>
      <c r="D36" s="31" t="s">
        <v>472</v>
      </c>
      <c r="E36" s="31" t="s">
        <v>473</v>
      </c>
      <c r="F36" s="31" t="s">
        <v>480</v>
      </c>
      <c r="G36" s="32" t="s">
        <v>42</v>
      </c>
      <c r="H36" s="32" t="s">
        <v>45</v>
      </c>
      <c r="I36" s="32" t="s">
        <v>45</v>
      </c>
      <c r="J36" s="31" t="str">
        <f t="shared" si="0"/>
        <v>VALID</v>
      </c>
      <c r="K36" s="45"/>
      <c r="L36" s="45"/>
      <c r="M36" s="31" t="str">
        <f t="shared" si="1"/>
        <v>A1</v>
      </c>
      <c r="N36" s="31" t="str">
        <f t="shared" si="2"/>
        <v>YES</v>
      </c>
      <c r="O36" s="33"/>
    </row>
    <row r="37" spans="1:15" ht="15">
      <c r="A37" s="30">
        <v>32</v>
      </c>
      <c r="B37" s="31" t="s">
        <v>494</v>
      </c>
      <c r="C37" s="31" t="s">
        <v>483</v>
      </c>
      <c r="D37" s="31" t="s">
        <v>477</v>
      </c>
      <c r="E37" s="31" t="s">
        <v>473</v>
      </c>
      <c r="F37" s="31" t="s">
        <v>481</v>
      </c>
      <c r="G37" s="32" t="s">
        <v>43</v>
      </c>
      <c r="H37" s="32" t="s">
        <v>44</v>
      </c>
      <c r="I37" s="32" t="s">
        <v>44</v>
      </c>
      <c r="J37" s="31" t="str">
        <f t="shared" si="0"/>
        <v>VALID</v>
      </c>
      <c r="K37" s="45"/>
      <c r="L37" s="45"/>
      <c r="M37" s="31" t="str">
        <f t="shared" si="1"/>
        <v>A2</v>
      </c>
      <c r="N37" s="31" t="str">
        <f t="shared" si="2"/>
        <v>YES</v>
      </c>
      <c r="O37" s="33"/>
    </row>
    <row r="38" spans="1:15" ht="15">
      <c r="A38" s="30">
        <v>33</v>
      </c>
      <c r="B38" s="31" t="s">
        <v>494</v>
      </c>
      <c r="C38" s="31" t="s">
        <v>486</v>
      </c>
      <c r="D38" s="31" t="s">
        <v>477</v>
      </c>
      <c r="E38" s="31" t="s">
        <v>473</v>
      </c>
      <c r="F38" s="31" t="s">
        <v>488</v>
      </c>
      <c r="G38" s="32" t="s">
        <v>43</v>
      </c>
      <c r="H38" s="32" t="s">
        <v>45</v>
      </c>
      <c r="I38" s="32" t="s">
        <v>45</v>
      </c>
      <c r="J38" s="31" t="str">
        <f t="shared" ref="J38:J69" si="3">IF(I38="","PENDING",IF(OR(I38=G38,I38=H38),"VALID","CHECK WINNER"))</f>
        <v>VALID</v>
      </c>
      <c r="K38" s="45"/>
      <c r="L38" s="45"/>
      <c r="M38" s="31" t="str">
        <f t="shared" ref="M38:M69" si="4">IF(J38="VALID",IF(I38=G38,H38,G38),"")</f>
        <v>A2</v>
      </c>
      <c r="N38" s="31" t="str">
        <f t="shared" ref="N38:N69" si="5">IF(J38="VALID","YES","NO")</f>
        <v>YES</v>
      </c>
      <c r="O38" s="33"/>
    </row>
    <row r="39" spans="1:15" ht="15">
      <c r="A39" s="30">
        <v>34</v>
      </c>
      <c r="B39" s="31" t="s">
        <v>494</v>
      </c>
      <c r="C39" s="31" t="s">
        <v>486</v>
      </c>
      <c r="D39" s="31" t="s">
        <v>472</v>
      </c>
      <c r="E39" s="31" t="s">
        <v>473</v>
      </c>
      <c r="F39" s="31" t="s">
        <v>484</v>
      </c>
      <c r="G39" s="32" t="s">
        <v>46</v>
      </c>
      <c r="H39" s="32" t="s">
        <v>47</v>
      </c>
      <c r="I39" s="32" t="s">
        <v>47</v>
      </c>
      <c r="J39" s="31" t="str">
        <f t="shared" si="3"/>
        <v>VALID</v>
      </c>
      <c r="K39" s="45"/>
      <c r="L39" s="45"/>
      <c r="M39" s="31" t="str">
        <f t="shared" si="4"/>
        <v>B1</v>
      </c>
      <c r="N39" s="31" t="str">
        <f t="shared" si="5"/>
        <v>YES</v>
      </c>
      <c r="O39" s="33"/>
    </row>
    <row r="40" spans="1:15" ht="15">
      <c r="A40" s="30">
        <v>35</v>
      </c>
      <c r="B40" s="31" t="s">
        <v>494</v>
      </c>
      <c r="C40" s="31" t="s">
        <v>486</v>
      </c>
      <c r="D40" s="31" t="s">
        <v>475</v>
      </c>
      <c r="E40" s="31" t="s">
        <v>473</v>
      </c>
      <c r="F40" s="31" t="s">
        <v>485</v>
      </c>
      <c r="G40" s="32" t="s">
        <v>48</v>
      </c>
      <c r="H40" s="32" t="s">
        <v>49</v>
      </c>
      <c r="I40" s="32" t="s">
        <v>49</v>
      </c>
      <c r="J40" s="31" t="str">
        <f t="shared" si="3"/>
        <v>VALID</v>
      </c>
      <c r="K40" s="45"/>
      <c r="L40" s="45"/>
      <c r="M40" s="31" t="str">
        <f t="shared" si="4"/>
        <v>B3</v>
      </c>
      <c r="N40" s="31" t="str">
        <f t="shared" si="5"/>
        <v>YES</v>
      </c>
      <c r="O40" s="33"/>
    </row>
    <row r="41" spans="1:15" ht="15">
      <c r="A41" s="30">
        <v>36</v>
      </c>
      <c r="B41" s="31" t="s">
        <v>494</v>
      </c>
      <c r="C41" s="31" t="s">
        <v>490</v>
      </c>
      <c r="D41" s="31" t="s">
        <v>491</v>
      </c>
      <c r="E41" s="31" t="s">
        <v>473</v>
      </c>
      <c r="F41" s="31" t="s">
        <v>487</v>
      </c>
      <c r="G41" s="32" t="s">
        <v>42</v>
      </c>
      <c r="H41" s="32" t="s">
        <v>44</v>
      </c>
      <c r="I41" s="32" t="s">
        <v>44</v>
      </c>
      <c r="J41" s="31" t="str">
        <f t="shared" si="3"/>
        <v>VALID</v>
      </c>
      <c r="K41" s="45"/>
      <c r="L41" s="45"/>
      <c r="M41" s="31" t="str">
        <f t="shared" si="4"/>
        <v>A1</v>
      </c>
      <c r="N41" s="31" t="str">
        <f t="shared" si="5"/>
        <v>YES</v>
      </c>
      <c r="O41" s="33"/>
    </row>
    <row r="42" spans="1:15" ht="15">
      <c r="A42" s="30">
        <v>37</v>
      </c>
      <c r="B42" s="31" t="s">
        <v>495</v>
      </c>
      <c r="C42" s="31" t="s">
        <v>471</v>
      </c>
      <c r="D42" s="31" t="s">
        <v>472</v>
      </c>
      <c r="E42" s="31" t="s">
        <v>473</v>
      </c>
      <c r="F42" s="31" t="s">
        <v>487</v>
      </c>
      <c r="G42" s="32" t="s">
        <v>42</v>
      </c>
      <c r="H42" s="32" t="s">
        <v>44</v>
      </c>
      <c r="I42" s="32" t="s">
        <v>44</v>
      </c>
      <c r="J42" s="31" t="str">
        <f t="shared" si="3"/>
        <v>VALID</v>
      </c>
      <c r="K42" s="45"/>
      <c r="L42" s="45"/>
      <c r="M42" s="31" t="str">
        <f t="shared" si="4"/>
        <v>A1</v>
      </c>
      <c r="N42" s="31" t="str">
        <f t="shared" si="5"/>
        <v>YES</v>
      </c>
      <c r="O42" s="33"/>
    </row>
    <row r="43" spans="1:15" ht="15">
      <c r="A43" s="30">
        <v>38</v>
      </c>
      <c r="B43" s="31" t="s">
        <v>495</v>
      </c>
      <c r="C43" s="31" t="s">
        <v>471</v>
      </c>
      <c r="D43" s="31" t="s">
        <v>477</v>
      </c>
      <c r="E43" s="31" t="s">
        <v>473</v>
      </c>
      <c r="F43" s="31" t="s">
        <v>492</v>
      </c>
      <c r="G43" s="32" t="s">
        <v>46</v>
      </c>
      <c r="H43" s="32" t="s">
        <v>48</v>
      </c>
      <c r="I43" s="32" t="s">
        <v>48</v>
      </c>
      <c r="J43" s="31" t="str">
        <f t="shared" si="3"/>
        <v>VALID</v>
      </c>
      <c r="K43" s="45"/>
      <c r="L43" s="45"/>
      <c r="M43" s="31" t="str">
        <f t="shared" si="4"/>
        <v>B1</v>
      </c>
      <c r="N43" s="31" t="str">
        <f t="shared" si="5"/>
        <v>YES</v>
      </c>
      <c r="O43" s="33"/>
    </row>
    <row r="44" spans="1:15" ht="15">
      <c r="A44" s="30">
        <v>39</v>
      </c>
      <c r="B44" s="31" t="s">
        <v>495</v>
      </c>
      <c r="C44" s="31" t="s">
        <v>471</v>
      </c>
      <c r="D44" s="31" t="s">
        <v>475</v>
      </c>
      <c r="E44" s="31" t="s">
        <v>473</v>
      </c>
      <c r="F44" s="31" t="s">
        <v>489</v>
      </c>
      <c r="G44" s="32" t="s">
        <v>47</v>
      </c>
      <c r="H44" s="32" t="s">
        <v>49</v>
      </c>
      <c r="I44" s="32" t="s">
        <v>49</v>
      </c>
      <c r="J44" s="31" t="str">
        <f t="shared" si="3"/>
        <v>VALID</v>
      </c>
      <c r="K44" s="45"/>
      <c r="L44" s="45"/>
      <c r="M44" s="31" t="str">
        <f t="shared" si="4"/>
        <v>B2</v>
      </c>
      <c r="N44" s="31" t="str">
        <f t="shared" si="5"/>
        <v>YES</v>
      </c>
      <c r="O44" s="33"/>
    </row>
    <row r="45" spans="1:15" ht="15">
      <c r="A45" s="30">
        <v>40</v>
      </c>
      <c r="B45" s="31" t="s">
        <v>495</v>
      </c>
      <c r="C45" s="31" t="s">
        <v>479</v>
      </c>
      <c r="D45" s="31" t="s">
        <v>472</v>
      </c>
      <c r="E45" s="31" t="s">
        <v>473</v>
      </c>
      <c r="F45" s="31" t="s">
        <v>474</v>
      </c>
      <c r="G45" s="32" t="s">
        <v>42</v>
      </c>
      <c r="H45" s="32" t="s">
        <v>43</v>
      </c>
      <c r="I45" s="32" t="s">
        <v>43</v>
      </c>
      <c r="J45" s="31" t="str">
        <f t="shared" si="3"/>
        <v>VALID</v>
      </c>
      <c r="K45" s="45"/>
      <c r="L45" s="45"/>
      <c r="M45" s="31" t="str">
        <f t="shared" si="4"/>
        <v>A1</v>
      </c>
      <c r="N45" s="31" t="str">
        <f t="shared" si="5"/>
        <v>YES</v>
      </c>
      <c r="O45" s="33"/>
    </row>
    <row r="46" spans="1:15" ht="15">
      <c r="A46" s="30">
        <v>41</v>
      </c>
      <c r="B46" s="31" t="s">
        <v>495</v>
      </c>
      <c r="C46" s="31" t="s">
        <v>479</v>
      </c>
      <c r="D46" s="31" t="s">
        <v>475</v>
      </c>
      <c r="E46" s="31" t="s">
        <v>473</v>
      </c>
      <c r="F46" s="31" t="s">
        <v>476</v>
      </c>
      <c r="G46" s="32" t="s">
        <v>44</v>
      </c>
      <c r="H46" s="32" t="s">
        <v>45</v>
      </c>
      <c r="I46" s="32" t="s">
        <v>45</v>
      </c>
      <c r="J46" s="31" t="str">
        <f t="shared" si="3"/>
        <v>VALID</v>
      </c>
      <c r="K46" s="45"/>
      <c r="L46" s="45"/>
      <c r="M46" s="31" t="str">
        <f t="shared" si="4"/>
        <v>A3</v>
      </c>
      <c r="N46" s="31" t="str">
        <f t="shared" si="5"/>
        <v>YES</v>
      </c>
      <c r="O46" s="33"/>
    </row>
    <row r="47" spans="1:15" ht="15">
      <c r="A47" s="30">
        <v>42</v>
      </c>
      <c r="B47" s="31" t="s">
        <v>495</v>
      </c>
      <c r="C47" s="31" t="s">
        <v>479</v>
      </c>
      <c r="D47" s="31" t="s">
        <v>477</v>
      </c>
      <c r="E47" s="31" t="s">
        <v>473</v>
      </c>
      <c r="F47" s="31" t="s">
        <v>478</v>
      </c>
      <c r="G47" s="32" t="s">
        <v>46</v>
      </c>
      <c r="H47" s="32" t="s">
        <v>49</v>
      </c>
      <c r="I47" s="32" t="s">
        <v>49</v>
      </c>
      <c r="J47" s="31" t="str">
        <f t="shared" si="3"/>
        <v>VALID</v>
      </c>
      <c r="K47" s="45"/>
      <c r="L47" s="45"/>
      <c r="M47" s="31" t="str">
        <f t="shared" si="4"/>
        <v>B1</v>
      </c>
      <c r="N47" s="31" t="str">
        <f t="shared" si="5"/>
        <v>YES</v>
      </c>
      <c r="O47" s="33"/>
    </row>
    <row r="48" spans="1:15" ht="15">
      <c r="A48" s="30">
        <v>43</v>
      </c>
      <c r="B48" s="31" t="s">
        <v>495</v>
      </c>
      <c r="C48" s="31" t="s">
        <v>483</v>
      </c>
      <c r="D48" s="31" t="s">
        <v>477</v>
      </c>
      <c r="E48" s="31" t="s">
        <v>473</v>
      </c>
      <c r="F48" s="31" t="s">
        <v>480</v>
      </c>
      <c r="G48" s="32" t="s">
        <v>42</v>
      </c>
      <c r="H48" s="32" t="s">
        <v>45</v>
      </c>
      <c r="I48" s="32" t="s">
        <v>45</v>
      </c>
      <c r="J48" s="31" t="str">
        <f t="shared" si="3"/>
        <v>VALID</v>
      </c>
      <c r="K48" s="45"/>
      <c r="L48" s="45"/>
      <c r="M48" s="31" t="str">
        <f t="shared" si="4"/>
        <v>A1</v>
      </c>
      <c r="N48" s="31" t="str">
        <f t="shared" si="5"/>
        <v>YES</v>
      </c>
      <c r="O48" s="33"/>
    </row>
    <row r="49" spans="1:15" ht="15">
      <c r="A49" s="30">
        <v>44</v>
      </c>
      <c r="B49" s="31" t="s">
        <v>495</v>
      </c>
      <c r="C49" s="31" t="s">
        <v>483</v>
      </c>
      <c r="D49" s="31" t="s">
        <v>472</v>
      </c>
      <c r="E49" s="31" t="s">
        <v>473</v>
      </c>
      <c r="F49" s="31" t="s">
        <v>482</v>
      </c>
      <c r="G49" s="32" t="s">
        <v>47</v>
      </c>
      <c r="H49" s="32" t="s">
        <v>48</v>
      </c>
      <c r="I49" s="32" t="s">
        <v>48</v>
      </c>
      <c r="J49" s="31" t="str">
        <f t="shared" si="3"/>
        <v>VALID</v>
      </c>
      <c r="K49" s="45"/>
      <c r="L49" s="45"/>
      <c r="M49" s="31" t="str">
        <f t="shared" si="4"/>
        <v>B2</v>
      </c>
      <c r="N49" s="31" t="str">
        <f t="shared" si="5"/>
        <v>YES</v>
      </c>
      <c r="O49" s="33"/>
    </row>
    <row r="50" spans="1:15" ht="15">
      <c r="A50" s="30">
        <v>45</v>
      </c>
      <c r="B50" s="31" t="s">
        <v>495</v>
      </c>
      <c r="C50" s="31" t="s">
        <v>486</v>
      </c>
      <c r="D50" s="31" t="s">
        <v>472</v>
      </c>
      <c r="E50" s="31" t="s">
        <v>473</v>
      </c>
      <c r="F50" s="31" t="s">
        <v>481</v>
      </c>
      <c r="G50" s="32" t="s">
        <v>43</v>
      </c>
      <c r="H50" s="32" t="s">
        <v>44</v>
      </c>
      <c r="I50" s="32" t="s">
        <v>44</v>
      </c>
      <c r="J50" s="31" t="str">
        <f t="shared" si="3"/>
        <v>VALID</v>
      </c>
      <c r="K50" s="45"/>
      <c r="L50" s="45"/>
      <c r="M50" s="31" t="str">
        <f t="shared" si="4"/>
        <v>A2</v>
      </c>
      <c r="N50" s="31" t="str">
        <f t="shared" si="5"/>
        <v>YES</v>
      </c>
      <c r="O50" s="33"/>
    </row>
    <row r="51" spans="1:15" ht="15">
      <c r="A51" s="30">
        <v>46</v>
      </c>
      <c r="B51" s="31" t="s">
        <v>495</v>
      </c>
      <c r="C51" s="31" t="s">
        <v>486</v>
      </c>
      <c r="D51" s="31" t="s">
        <v>475</v>
      </c>
      <c r="E51" s="31" t="s">
        <v>473</v>
      </c>
      <c r="F51" s="31" t="s">
        <v>484</v>
      </c>
      <c r="G51" s="32" t="s">
        <v>46</v>
      </c>
      <c r="H51" s="32" t="s">
        <v>47</v>
      </c>
      <c r="I51" s="32" t="s">
        <v>47</v>
      </c>
      <c r="J51" s="31" t="str">
        <f t="shared" si="3"/>
        <v>VALID</v>
      </c>
      <c r="K51" s="45"/>
      <c r="L51" s="45"/>
      <c r="M51" s="31" t="str">
        <f t="shared" si="4"/>
        <v>B1</v>
      </c>
      <c r="N51" s="31" t="str">
        <f t="shared" si="5"/>
        <v>YES</v>
      </c>
      <c r="O51" s="33"/>
    </row>
    <row r="52" spans="1:15" ht="15">
      <c r="A52" s="30">
        <v>47</v>
      </c>
      <c r="B52" s="31" t="s">
        <v>495</v>
      </c>
      <c r="C52" s="31" t="s">
        <v>486</v>
      </c>
      <c r="D52" s="31" t="s">
        <v>477</v>
      </c>
      <c r="E52" s="31" t="s">
        <v>473</v>
      </c>
      <c r="F52" s="31" t="s">
        <v>485</v>
      </c>
      <c r="G52" s="32" t="s">
        <v>48</v>
      </c>
      <c r="H52" s="32" t="s">
        <v>49</v>
      </c>
      <c r="I52" s="32" t="s">
        <v>49</v>
      </c>
      <c r="J52" s="31" t="str">
        <f t="shared" si="3"/>
        <v>VALID</v>
      </c>
      <c r="K52" s="45"/>
      <c r="L52" s="45"/>
      <c r="M52" s="31" t="str">
        <f t="shared" si="4"/>
        <v>B3</v>
      </c>
      <c r="N52" s="31" t="str">
        <f t="shared" si="5"/>
        <v>YES</v>
      </c>
      <c r="O52" s="33"/>
    </row>
    <row r="53" spans="1:15" ht="15">
      <c r="A53" s="30">
        <v>48</v>
      </c>
      <c r="B53" s="31" t="s">
        <v>495</v>
      </c>
      <c r="C53" s="31" t="s">
        <v>490</v>
      </c>
      <c r="D53" s="31" t="s">
        <v>491</v>
      </c>
      <c r="E53" s="31" t="s">
        <v>473</v>
      </c>
      <c r="F53" s="31" t="s">
        <v>488</v>
      </c>
      <c r="G53" s="32" t="s">
        <v>43</v>
      </c>
      <c r="H53" s="32" t="s">
        <v>45</v>
      </c>
      <c r="I53" s="32" t="s">
        <v>45</v>
      </c>
      <c r="J53" s="31" t="str">
        <f t="shared" si="3"/>
        <v>VALID</v>
      </c>
      <c r="K53" s="45"/>
      <c r="L53" s="45"/>
      <c r="M53" s="31" t="str">
        <f t="shared" si="4"/>
        <v>A2</v>
      </c>
      <c r="N53" s="31" t="str">
        <f t="shared" si="5"/>
        <v>YES</v>
      </c>
      <c r="O53" s="33"/>
    </row>
    <row r="54" spans="1:15" ht="15">
      <c r="A54" s="30">
        <v>49</v>
      </c>
      <c r="B54" s="31" t="s">
        <v>496</v>
      </c>
      <c r="C54" s="31" t="s">
        <v>471</v>
      </c>
      <c r="D54" s="31" t="s">
        <v>475</v>
      </c>
      <c r="E54" s="31" t="s">
        <v>473</v>
      </c>
      <c r="F54" s="31" t="s">
        <v>487</v>
      </c>
      <c r="G54" s="32" t="s">
        <v>42</v>
      </c>
      <c r="H54" s="32" t="s">
        <v>44</v>
      </c>
      <c r="I54" s="32" t="s">
        <v>44</v>
      </c>
      <c r="J54" s="31" t="str">
        <f t="shared" si="3"/>
        <v>VALID</v>
      </c>
      <c r="K54" s="45"/>
      <c r="L54" s="45"/>
      <c r="M54" s="31" t="str">
        <f t="shared" si="4"/>
        <v>A1</v>
      </c>
      <c r="N54" s="31" t="str">
        <f t="shared" si="5"/>
        <v>YES</v>
      </c>
      <c r="O54" s="33"/>
    </row>
    <row r="55" spans="1:15" ht="15">
      <c r="A55" s="30">
        <v>50</v>
      </c>
      <c r="B55" s="31" t="s">
        <v>496</v>
      </c>
      <c r="C55" s="31" t="s">
        <v>471</v>
      </c>
      <c r="D55" s="31" t="s">
        <v>472</v>
      </c>
      <c r="E55" s="31" t="s">
        <v>473</v>
      </c>
      <c r="F55" s="31" t="s">
        <v>488</v>
      </c>
      <c r="G55" s="32" t="s">
        <v>43</v>
      </c>
      <c r="H55" s="32" t="s">
        <v>45</v>
      </c>
      <c r="I55" s="32" t="s">
        <v>45</v>
      </c>
      <c r="J55" s="31" t="str">
        <f t="shared" si="3"/>
        <v>VALID</v>
      </c>
      <c r="K55" s="45"/>
      <c r="L55" s="45"/>
      <c r="M55" s="31" t="str">
        <f t="shared" si="4"/>
        <v>A2</v>
      </c>
      <c r="N55" s="31" t="str">
        <f t="shared" si="5"/>
        <v>YES</v>
      </c>
      <c r="O55" s="33"/>
    </row>
    <row r="56" spans="1:15" ht="15">
      <c r="A56" s="30">
        <v>51</v>
      </c>
      <c r="B56" s="31" t="s">
        <v>496</v>
      </c>
      <c r="C56" s="31" t="s">
        <v>471</v>
      </c>
      <c r="D56" s="31" t="s">
        <v>477</v>
      </c>
      <c r="E56" s="31" t="s">
        <v>473</v>
      </c>
      <c r="F56" s="31" t="s">
        <v>489</v>
      </c>
      <c r="G56" s="32" t="s">
        <v>47</v>
      </c>
      <c r="H56" s="32" t="s">
        <v>49</v>
      </c>
      <c r="I56" s="32" t="s">
        <v>49</v>
      </c>
      <c r="J56" s="31" t="str">
        <f t="shared" si="3"/>
        <v>VALID</v>
      </c>
      <c r="K56" s="45"/>
      <c r="L56" s="45"/>
      <c r="M56" s="31" t="str">
        <f t="shared" si="4"/>
        <v>B2</v>
      </c>
      <c r="N56" s="31" t="str">
        <f t="shared" si="5"/>
        <v>YES</v>
      </c>
      <c r="O56" s="33"/>
    </row>
    <row r="57" spans="1:15" ht="15">
      <c r="A57" s="30">
        <v>52</v>
      </c>
      <c r="B57" s="31" t="s">
        <v>496</v>
      </c>
      <c r="C57" s="31" t="s">
        <v>479</v>
      </c>
      <c r="D57" s="31" t="s">
        <v>475</v>
      </c>
      <c r="E57" s="31" t="s">
        <v>473</v>
      </c>
      <c r="F57" s="31" t="s">
        <v>474</v>
      </c>
      <c r="G57" s="32" t="s">
        <v>42</v>
      </c>
      <c r="H57" s="32" t="s">
        <v>43</v>
      </c>
      <c r="I57" s="32" t="s">
        <v>43</v>
      </c>
      <c r="J57" s="31" t="str">
        <f t="shared" si="3"/>
        <v>VALID</v>
      </c>
      <c r="K57" s="45"/>
      <c r="L57" s="45"/>
      <c r="M57" s="31" t="str">
        <f t="shared" si="4"/>
        <v>A1</v>
      </c>
      <c r="N57" s="31" t="str">
        <f t="shared" si="5"/>
        <v>YES</v>
      </c>
      <c r="O57" s="33"/>
    </row>
    <row r="58" spans="1:15" ht="15">
      <c r="A58" s="30">
        <v>53</v>
      </c>
      <c r="B58" s="31" t="s">
        <v>496</v>
      </c>
      <c r="C58" s="31" t="s">
        <v>479</v>
      </c>
      <c r="D58" s="31" t="s">
        <v>477</v>
      </c>
      <c r="E58" s="31" t="s">
        <v>473</v>
      </c>
      <c r="F58" s="31" t="s">
        <v>476</v>
      </c>
      <c r="G58" s="32" t="s">
        <v>44</v>
      </c>
      <c r="H58" s="32" t="s">
        <v>45</v>
      </c>
      <c r="I58" s="32" t="s">
        <v>45</v>
      </c>
      <c r="J58" s="31" t="str">
        <f t="shared" si="3"/>
        <v>VALID</v>
      </c>
      <c r="K58" s="45"/>
      <c r="L58" s="45"/>
      <c r="M58" s="31" t="str">
        <f t="shared" si="4"/>
        <v>A3</v>
      </c>
      <c r="N58" s="31" t="str">
        <f t="shared" si="5"/>
        <v>YES</v>
      </c>
      <c r="O58" s="33"/>
    </row>
    <row r="59" spans="1:15" ht="15">
      <c r="A59" s="30">
        <v>54</v>
      </c>
      <c r="B59" s="31" t="s">
        <v>496</v>
      </c>
      <c r="C59" s="31" t="s">
        <v>479</v>
      </c>
      <c r="D59" s="31" t="s">
        <v>472</v>
      </c>
      <c r="E59" s="31" t="s">
        <v>473</v>
      </c>
      <c r="F59" s="31" t="s">
        <v>492</v>
      </c>
      <c r="G59" s="32" t="s">
        <v>46</v>
      </c>
      <c r="H59" s="32" t="s">
        <v>48</v>
      </c>
      <c r="I59" s="32" t="s">
        <v>48</v>
      </c>
      <c r="J59" s="31" t="str">
        <f t="shared" si="3"/>
        <v>VALID</v>
      </c>
      <c r="K59" s="45"/>
      <c r="L59" s="45"/>
      <c r="M59" s="31" t="str">
        <f t="shared" si="4"/>
        <v>B1</v>
      </c>
      <c r="N59" s="31" t="str">
        <f t="shared" si="5"/>
        <v>YES</v>
      </c>
      <c r="O59" s="33"/>
    </row>
    <row r="60" spans="1:15" ht="15">
      <c r="A60" s="30">
        <v>55</v>
      </c>
      <c r="B60" s="31" t="s">
        <v>496</v>
      </c>
      <c r="C60" s="31" t="s">
        <v>483</v>
      </c>
      <c r="D60" s="31" t="s">
        <v>472</v>
      </c>
      <c r="E60" s="31" t="s">
        <v>473</v>
      </c>
      <c r="F60" s="31" t="s">
        <v>478</v>
      </c>
      <c r="G60" s="32" t="s">
        <v>46</v>
      </c>
      <c r="H60" s="32" t="s">
        <v>49</v>
      </c>
      <c r="I60" s="32" t="s">
        <v>49</v>
      </c>
      <c r="J60" s="31" t="str">
        <f t="shared" si="3"/>
        <v>VALID</v>
      </c>
      <c r="K60" s="45"/>
      <c r="L60" s="45"/>
      <c r="M60" s="31" t="str">
        <f t="shared" si="4"/>
        <v>B1</v>
      </c>
      <c r="N60" s="31" t="str">
        <f t="shared" si="5"/>
        <v>YES</v>
      </c>
      <c r="O60" s="33"/>
    </row>
    <row r="61" spans="1:15" ht="15">
      <c r="A61" s="30">
        <v>56</v>
      </c>
      <c r="B61" s="31" t="s">
        <v>496</v>
      </c>
      <c r="C61" s="31" t="s">
        <v>483</v>
      </c>
      <c r="D61" s="31" t="s">
        <v>477</v>
      </c>
      <c r="E61" s="31" t="s">
        <v>473</v>
      </c>
      <c r="F61" s="31" t="s">
        <v>482</v>
      </c>
      <c r="G61" s="32" t="s">
        <v>47</v>
      </c>
      <c r="H61" s="32" t="s">
        <v>48</v>
      </c>
      <c r="I61" s="32" t="s">
        <v>48</v>
      </c>
      <c r="J61" s="31" t="str">
        <f t="shared" si="3"/>
        <v>VALID</v>
      </c>
      <c r="K61" s="45"/>
      <c r="L61" s="45"/>
      <c r="M61" s="31" t="str">
        <f t="shared" si="4"/>
        <v>B2</v>
      </c>
      <c r="N61" s="31" t="str">
        <f t="shared" si="5"/>
        <v>YES</v>
      </c>
      <c r="O61" s="33"/>
    </row>
    <row r="62" spans="1:15" ht="15">
      <c r="A62" s="30">
        <v>57</v>
      </c>
      <c r="B62" s="31" t="s">
        <v>496</v>
      </c>
      <c r="C62" s="31" t="s">
        <v>486</v>
      </c>
      <c r="D62" s="31" t="s">
        <v>472</v>
      </c>
      <c r="E62" s="31" t="s">
        <v>473</v>
      </c>
      <c r="F62" s="31" t="s">
        <v>480</v>
      </c>
      <c r="G62" s="32" t="s">
        <v>42</v>
      </c>
      <c r="H62" s="32" t="s">
        <v>45</v>
      </c>
      <c r="I62" s="32" t="s">
        <v>42</v>
      </c>
      <c r="J62" s="31" t="str">
        <f t="shared" si="3"/>
        <v>VALID</v>
      </c>
      <c r="K62" s="45"/>
      <c r="L62" s="45"/>
      <c r="M62" s="31" t="str">
        <f t="shared" si="4"/>
        <v>A4</v>
      </c>
      <c r="N62" s="31" t="str">
        <f t="shared" si="5"/>
        <v>YES</v>
      </c>
      <c r="O62" s="33"/>
    </row>
    <row r="63" spans="1:15" ht="15">
      <c r="A63" s="30">
        <v>58</v>
      </c>
      <c r="B63" s="31" t="s">
        <v>496</v>
      </c>
      <c r="C63" s="31" t="s">
        <v>486</v>
      </c>
      <c r="D63" s="31" t="s">
        <v>475</v>
      </c>
      <c r="E63" s="31" t="s">
        <v>473</v>
      </c>
      <c r="F63" s="31" t="s">
        <v>481</v>
      </c>
      <c r="G63" s="32" t="s">
        <v>43</v>
      </c>
      <c r="H63" s="32" t="s">
        <v>44</v>
      </c>
      <c r="I63" s="32" t="s">
        <v>44</v>
      </c>
      <c r="J63" s="31" t="str">
        <f t="shared" si="3"/>
        <v>VALID</v>
      </c>
      <c r="K63" s="45"/>
      <c r="L63" s="45"/>
      <c r="M63" s="31" t="str">
        <f t="shared" si="4"/>
        <v>A2</v>
      </c>
      <c r="N63" s="31" t="str">
        <f t="shared" si="5"/>
        <v>YES</v>
      </c>
      <c r="O63" s="33"/>
    </row>
    <row r="64" spans="1:15" ht="15">
      <c r="A64" s="30">
        <v>59</v>
      </c>
      <c r="B64" s="31" t="s">
        <v>496</v>
      </c>
      <c r="C64" s="31" t="s">
        <v>486</v>
      </c>
      <c r="D64" s="31" t="s">
        <v>477</v>
      </c>
      <c r="E64" s="31" t="s">
        <v>473</v>
      </c>
      <c r="F64" s="31" t="s">
        <v>484</v>
      </c>
      <c r="G64" s="32" t="s">
        <v>46</v>
      </c>
      <c r="H64" s="32" t="s">
        <v>47</v>
      </c>
      <c r="I64" s="32" t="s">
        <v>47</v>
      </c>
      <c r="J64" s="31" t="str">
        <f t="shared" si="3"/>
        <v>VALID</v>
      </c>
      <c r="K64" s="45"/>
      <c r="L64" s="45"/>
      <c r="M64" s="31" t="str">
        <f t="shared" si="4"/>
        <v>B1</v>
      </c>
      <c r="N64" s="31" t="str">
        <f t="shared" si="5"/>
        <v>YES</v>
      </c>
      <c r="O64" s="33"/>
    </row>
    <row r="65" spans="1:15" ht="15">
      <c r="A65" s="30">
        <v>60</v>
      </c>
      <c r="B65" s="31" t="s">
        <v>496</v>
      </c>
      <c r="C65" s="31" t="s">
        <v>490</v>
      </c>
      <c r="D65" s="31" t="s">
        <v>491</v>
      </c>
      <c r="E65" s="31" t="s">
        <v>473</v>
      </c>
      <c r="F65" s="31" t="s">
        <v>485</v>
      </c>
      <c r="G65" s="32" t="s">
        <v>48</v>
      </c>
      <c r="H65" s="32" t="s">
        <v>49</v>
      </c>
      <c r="I65" s="32" t="s">
        <v>49</v>
      </c>
      <c r="J65" s="31" t="str">
        <f t="shared" si="3"/>
        <v>VALID</v>
      </c>
      <c r="K65" s="45"/>
      <c r="L65" s="45"/>
      <c r="M65" s="31" t="str">
        <f t="shared" si="4"/>
        <v>B3</v>
      </c>
      <c r="N65" s="31" t="str">
        <f t="shared" si="5"/>
        <v>YES</v>
      </c>
      <c r="O65" s="33"/>
    </row>
    <row r="66" spans="1:15" ht="15">
      <c r="A66" s="30">
        <v>61</v>
      </c>
      <c r="B66" s="31" t="s">
        <v>497</v>
      </c>
      <c r="C66" s="31" t="s">
        <v>471</v>
      </c>
      <c r="D66" s="31" t="s">
        <v>477</v>
      </c>
      <c r="E66" s="31" t="s">
        <v>473</v>
      </c>
      <c r="F66" s="31" t="s">
        <v>487</v>
      </c>
      <c r="G66" s="32" t="s">
        <v>42</v>
      </c>
      <c r="H66" s="32" t="s">
        <v>44</v>
      </c>
      <c r="I66" s="32" t="s">
        <v>44</v>
      </c>
      <c r="J66" s="31" t="str">
        <f t="shared" si="3"/>
        <v>VALID</v>
      </c>
      <c r="K66" s="45"/>
      <c r="L66" s="45"/>
      <c r="M66" s="31" t="str">
        <f t="shared" si="4"/>
        <v>A1</v>
      </c>
      <c r="N66" s="31" t="str">
        <f t="shared" si="5"/>
        <v>YES</v>
      </c>
      <c r="O66" s="33"/>
    </row>
    <row r="67" spans="1:15" ht="15">
      <c r="A67" s="30">
        <v>62</v>
      </c>
      <c r="B67" s="31" t="s">
        <v>497</v>
      </c>
      <c r="C67" s="31" t="s">
        <v>471</v>
      </c>
      <c r="D67" s="31" t="s">
        <v>475</v>
      </c>
      <c r="E67" s="31" t="s">
        <v>473</v>
      </c>
      <c r="F67" s="31" t="s">
        <v>488</v>
      </c>
      <c r="G67" s="32" t="s">
        <v>43</v>
      </c>
      <c r="H67" s="32" t="s">
        <v>45</v>
      </c>
      <c r="I67" s="32" t="s">
        <v>45</v>
      </c>
      <c r="J67" s="31" t="str">
        <f t="shared" si="3"/>
        <v>VALID</v>
      </c>
      <c r="K67" s="45"/>
      <c r="L67" s="45"/>
      <c r="M67" s="31" t="str">
        <f t="shared" si="4"/>
        <v>A2</v>
      </c>
      <c r="N67" s="31" t="str">
        <f t="shared" si="5"/>
        <v>YES</v>
      </c>
      <c r="O67" s="33"/>
    </row>
    <row r="68" spans="1:15" ht="15">
      <c r="A68" s="30">
        <v>63</v>
      </c>
      <c r="B68" s="31" t="s">
        <v>497</v>
      </c>
      <c r="C68" s="31" t="s">
        <v>471</v>
      </c>
      <c r="D68" s="31" t="s">
        <v>472</v>
      </c>
      <c r="E68" s="31" t="s">
        <v>473</v>
      </c>
      <c r="F68" s="31" t="s">
        <v>485</v>
      </c>
      <c r="G68" s="32" t="s">
        <v>48</v>
      </c>
      <c r="H68" s="32" t="s">
        <v>49</v>
      </c>
      <c r="I68" s="32" t="s">
        <v>49</v>
      </c>
      <c r="J68" s="31" t="str">
        <f t="shared" si="3"/>
        <v>VALID</v>
      </c>
      <c r="K68" s="45"/>
      <c r="L68" s="45"/>
      <c r="M68" s="31" t="str">
        <f t="shared" si="4"/>
        <v>B3</v>
      </c>
      <c r="N68" s="31" t="str">
        <f t="shared" si="5"/>
        <v>YES</v>
      </c>
      <c r="O68" s="33"/>
    </row>
    <row r="69" spans="1:15" ht="15">
      <c r="A69" s="30">
        <v>64</v>
      </c>
      <c r="B69" s="31" t="s">
        <v>497</v>
      </c>
      <c r="C69" s="31" t="s">
        <v>479</v>
      </c>
      <c r="D69" s="31" t="s">
        <v>477</v>
      </c>
      <c r="E69" s="31" t="s">
        <v>473</v>
      </c>
      <c r="F69" s="31" t="s">
        <v>474</v>
      </c>
      <c r="G69" s="32" t="s">
        <v>42</v>
      </c>
      <c r="H69" s="32" t="s">
        <v>43</v>
      </c>
      <c r="I69" s="32" t="s">
        <v>43</v>
      </c>
      <c r="J69" s="31" t="str">
        <f t="shared" si="3"/>
        <v>VALID</v>
      </c>
      <c r="K69" s="45"/>
      <c r="L69" s="45"/>
      <c r="M69" s="31" t="str">
        <f t="shared" si="4"/>
        <v>A1</v>
      </c>
      <c r="N69" s="31" t="str">
        <f t="shared" si="5"/>
        <v>YES</v>
      </c>
      <c r="O69" s="33"/>
    </row>
    <row r="70" spans="1:15" ht="15">
      <c r="A70" s="30">
        <v>65</v>
      </c>
      <c r="B70" s="31" t="s">
        <v>497</v>
      </c>
      <c r="C70" s="31" t="s">
        <v>479</v>
      </c>
      <c r="D70" s="31" t="s">
        <v>475</v>
      </c>
      <c r="E70" s="31" t="s">
        <v>473</v>
      </c>
      <c r="F70" s="31" t="s">
        <v>492</v>
      </c>
      <c r="G70" s="32" t="s">
        <v>46</v>
      </c>
      <c r="H70" s="32" t="s">
        <v>48</v>
      </c>
      <c r="I70" s="32" t="s">
        <v>48</v>
      </c>
      <c r="J70" s="31" t="str">
        <f t="shared" ref="J70:J101" si="6">IF(I70="","PENDING",IF(OR(I70=G70,I70=H70),"VALID","CHECK WINNER"))</f>
        <v>VALID</v>
      </c>
      <c r="K70" s="45"/>
      <c r="L70" s="45"/>
      <c r="M70" s="31" t="str">
        <f t="shared" ref="M70:M101" si="7">IF(J70="VALID",IF(I70=G70,H70,G70),"")</f>
        <v>B1</v>
      </c>
      <c r="N70" s="31" t="str">
        <f t="shared" ref="N70:N101" si="8">IF(J70="VALID","YES","NO")</f>
        <v>YES</v>
      </c>
      <c r="O70" s="33"/>
    </row>
    <row r="71" spans="1:15" ht="15">
      <c r="A71" s="30">
        <v>66</v>
      </c>
      <c r="B71" s="31" t="s">
        <v>497</v>
      </c>
      <c r="C71" s="31" t="s">
        <v>479</v>
      </c>
      <c r="D71" s="31" t="s">
        <v>472</v>
      </c>
      <c r="E71" s="31" t="s">
        <v>473</v>
      </c>
      <c r="F71" s="31" t="s">
        <v>489</v>
      </c>
      <c r="G71" s="32" t="s">
        <v>47</v>
      </c>
      <c r="H71" s="32" t="s">
        <v>49</v>
      </c>
      <c r="I71" s="32" t="s">
        <v>49</v>
      </c>
      <c r="J71" s="31" t="str">
        <f t="shared" si="6"/>
        <v>VALID</v>
      </c>
      <c r="K71" s="45"/>
      <c r="L71" s="45"/>
      <c r="M71" s="31" t="str">
        <f t="shared" si="7"/>
        <v>B2</v>
      </c>
      <c r="N71" s="31" t="str">
        <f t="shared" si="8"/>
        <v>YES</v>
      </c>
      <c r="O71" s="33"/>
    </row>
    <row r="72" spans="1:15" ht="15">
      <c r="A72" s="30">
        <v>67</v>
      </c>
      <c r="B72" s="31" t="s">
        <v>497</v>
      </c>
      <c r="C72" s="31" t="s">
        <v>483</v>
      </c>
      <c r="D72" s="31" t="s">
        <v>472</v>
      </c>
      <c r="E72" s="31" t="s">
        <v>473</v>
      </c>
      <c r="F72" s="31" t="s">
        <v>476</v>
      </c>
      <c r="G72" s="32" t="s">
        <v>44</v>
      </c>
      <c r="H72" s="32" t="s">
        <v>45</v>
      </c>
      <c r="I72" s="32" t="s">
        <v>45</v>
      </c>
      <c r="J72" s="31" t="str">
        <f t="shared" si="6"/>
        <v>VALID</v>
      </c>
      <c r="K72" s="45"/>
      <c r="L72" s="45"/>
      <c r="M72" s="31" t="str">
        <f t="shared" si="7"/>
        <v>A3</v>
      </c>
      <c r="N72" s="31" t="str">
        <f t="shared" si="8"/>
        <v>YES</v>
      </c>
      <c r="O72" s="33"/>
    </row>
    <row r="73" spans="1:15" ht="15">
      <c r="A73" s="30">
        <v>68</v>
      </c>
      <c r="B73" s="31" t="s">
        <v>497</v>
      </c>
      <c r="C73" s="31" t="s">
        <v>483</v>
      </c>
      <c r="D73" s="31" t="s">
        <v>477</v>
      </c>
      <c r="E73" s="31" t="s">
        <v>473</v>
      </c>
      <c r="F73" s="31" t="s">
        <v>478</v>
      </c>
      <c r="G73" s="32" t="s">
        <v>46</v>
      </c>
      <c r="H73" s="32" t="s">
        <v>49</v>
      </c>
      <c r="I73" s="32" t="s">
        <v>49</v>
      </c>
      <c r="J73" s="31" t="str">
        <f t="shared" si="6"/>
        <v>VALID</v>
      </c>
      <c r="K73" s="45"/>
      <c r="L73" s="45"/>
      <c r="M73" s="31" t="str">
        <f t="shared" si="7"/>
        <v>B1</v>
      </c>
      <c r="N73" s="31" t="str">
        <f t="shared" si="8"/>
        <v>YES</v>
      </c>
      <c r="O73" s="33"/>
    </row>
    <row r="74" spans="1:15" ht="15">
      <c r="A74" s="30">
        <v>69</v>
      </c>
      <c r="B74" s="31" t="s">
        <v>497</v>
      </c>
      <c r="C74" s="31" t="s">
        <v>486</v>
      </c>
      <c r="D74" s="31" t="s">
        <v>475</v>
      </c>
      <c r="E74" s="31" t="s">
        <v>473</v>
      </c>
      <c r="F74" s="31" t="s">
        <v>480</v>
      </c>
      <c r="G74" s="32" t="s">
        <v>42</v>
      </c>
      <c r="H74" s="32" t="s">
        <v>45</v>
      </c>
      <c r="I74" s="32" t="s">
        <v>45</v>
      </c>
      <c r="J74" s="31" t="str">
        <f t="shared" si="6"/>
        <v>VALID</v>
      </c>
      <c r="K74" s="45"/>
      <c r="L74" s="45"/>
      <c r="M74" s="31" t="str">
        <f t="shared" si="7"/>
        <v>A1</v>
      </c>
      <c r="N74" s="31" t="str">
        <f t="shared" si="8"/>
        <v>YES</v>
      </c>
      <c r="O74" s="33"/>
    </row>
    <row r="75" spans="1:15" ht="15">
      <c r="A75" s="30">
        <v>70</v>
      </c>
      <c r="B75" s="31" t="s">
        <v>497</v>
      </c>
      <c r="C75" s="31" t="s">
        <v>486</v>
      </c>
      <c r="D75" s="31" t="s">
        <v>477</v>
      </c>
      <c r="E75" s="31" t="s">
        <v>473</v>
      </c>
      <c r="F75" s="31" t="s">
        <v>481</v>
      </c>
      <c r="G75" s="32" t="s">
        <v>43</v>
      </c>
      <c r="H75" s="32" t="s">
        <v>44</v>
      </c>
      <c r="I75" s="32" t="s">
        <v>44</v>
      </c>
      <c r="J75" s="31" t="str">
        <f t="shared" si="6"/>
        <v>VALID</v>
      </c>
      <c r="K75" s="45"/>
      <c r="L75" s="45"/>
      <c r="M75" s="31" t="str">
        <f t="shared" si="7"/>
        <v>A2</v>
      </c>
      <c r="N75" s="31" t="str">
        <f t="shared" si="8"/>
        <v>YES</v>
      </c>
      <c r="O75" s="33"/>
    </row>
    <row r="76" spans="1:15" ht="15">
      <c r="A76" s="30">
        <v>71</v>
      </c>
      <c r="B76" s="31" t="s">
        <v>497</v>
      </c>
      <c r="C76" s="31" t="s">
        <v>486</v>
      </c>
      <c r="D76" s="31" t="s">
        <v>472</v>
      </c>
      <c r="E76" s="31" t="s">
        <v>473</v>
      </c>
      <c r="F76" s="31" t="s">
        <v>482</v>
      </c>
      <c r="G76" s="32" t="s">
        <v>47</v>
      </c>
      <c r="H76" s="32" t="s">
        <v>48</v>
      </c>
      <c r="I76" s="32" t="s">
        <v>48</v>
      </c>
      <c r="J76" s="31" t="str">
        <f t="shared" si="6"/>
        <v>VALID</v>
      </c>
      <c r="K76" s="45"/>
      <c r="L76" s="45"/>
      <c r="M76" s="31" t="str">
        <f t="shared" si="7"/>
        <v>B2</v>
      </c>
      <c r="N76" s="31" t="str">
        <f t="shared" si="8"/>
        <v>YES</v>
      </c>
      <c r="O76" s="33"/>
    </row>
    <row r="77" spans="1:15" ht="15">
      <c r="A77" s="30">
        <v>72</v>
      </c>
      <c r="B77" s="31" t="s">
        <v>497</v>
      </c>
      <c r="C77" s="31" t="s">
        <v>490</v>
      </c>
      <c r="D77" s="31" t="s">
        <v>491</v>
      </c>
      <c r="E77" s="31" t="s">
        <v>473</v>
      </c>
      <c r="F77" s="31" t="s">
        <v>484</v>
      </c>
      <c r="G77" s="32" t="s">
        <v>46</v>
      </c>
      <c r="H77" s="32" t="s">
        <v>47</v>
      </c>
      <c r="I77" s="32" t="s">
        <v>47</v>
      </c>
      <c r="J77" s="31" t="str">
        <f t="shared" si="6"/>
        <v>VALID</v>
      </c>
      <c r="K77" s="45"/>
      <c r="L77" s="45"/>
      <c r="M77" s="31" t="str">
        <f t="shared" si="7"/>
        <v>B1</v>
      </c>
      <c r="N77" s="31" t="str">
        <f t="shared" si="8"/>
        <v>YES</v>
      </c>
      <c r="O77" s="33"/>
    </row>
    <row r="78" spans="1:15" ht="15">
      <c r="A78" s="30">
        <v>73</v>
      </c>
      <c r="B78" s="31" t="s">
        <v>498</v>
      </c>
      <c r="C78" s="31" t="s">
        <v>471</v>
      </c>
      <c r="D78" s="31" t="s">
        <v>477</v>
      </c>
      <c r="E78" s="31" t="s">
        <v>473</v>
      </c>
      <c r="F78" s="31" t="s">
        <v>488</v>
      </c>
      <c r="G78" s="32" t="s">
        <v>43</v>
      </c>
      <c r="H78" s="32" t="s">
        <v>45</v>
      </c>
      <c r="I78" s="32" t="s">
        <v>45</v>
      </c>
      <c r="J78" s="31" t="str">
        <f t="shared" si="6"/>
        <v>VALID</v>
      </c>
      <c r="K78" s="45"/>
      <c r="L78" s="45"/>
      <c r="M78" s="31" t="str">
        <f t="shared" si="7"/>
        <v>A2</v>
      </c>
      <c r="N78" s="31" t="str">
        <f t="shared" si="8"/>
        <v>YES</v>
      </c>
      <c r="O78" s="33"/>
    </row>
    <row r="79" spans="1:15" ht="15">
      <c r="A79" s="30">
        <v>74</v>
      </c>
      <c r="B79" s="31" t="s">
        <v>498</v>
      </c>
      <c r="C79" s="31" t="s">
        <v>471</v>
      </c>
      <c r="D79" s="31" t="s">
        <v>472</v>
      </c>
      <c r="E79" s="31" t="s">
        <v>473</v>
      </c>
      <c r="F79" s="31" t="s">
        <v>484</v>
      </c>
      <c r="G79" s="32" t="s">
        <v>46</v>
      </c>
      <c r="H79" s="32" t="s">
        <v>47</v>
      </c>
      <c r="I79" s="32" t="s">
        <v>47</v>
      </c>
      <c r="J79" s="31" t="str">
        <f t="shared" si="6"/>
        <v>VALID</v>
      </c>
      <c r="K79" s="45"/>
      <c r="L79" s="45"/>
      <c r="M79" s="31" t="str">
        <f t="shared" si="7"/>
        <v>B1</v>
      </c>
      <c r="N79" s="31" t="str">
        <f t="shared" si="8"/>
        <v>YES</v>
      </c>
      <c r="O79" s="33"/>
    </row>
    <row r="80" spans="1:15" ht="15">
      <c r="A80" s="30">
        <v>75</v>
      </c>
      <c r="B80" s="31" t="s">
        <v>498</v>
      </c>
      <c r="C80" s="31" t="s">
        <v>471</v>
      </c>
      <c r="D80" s="31" t="s">
        <v>475</v>
      </c>
      <c r="E80" s="31" t="s">
        <v>473</v>
      </c>
      <c r="F80" s="31" t="s">
        <v>485</v>
      </c>
      <c r="G80" s="32" t="s">
        <v>48</v>
      </c>
      <c r="H80" s="32" t="s">
        <v>49</v>
      </c>
      <c r="I80" s="32" t="s">
        <v>49</v>
      </c>
      <c r="J80" s="31" t="str">
        <f t="shared" si="6"/>
        <v>VALID</v>
      </c>
      <c r="K80" s="45"/>
      <c r="L80" s="45"/>
      <c r="M80" s="31" t="str">
        <f t="shared" si="7"/>
        <v>B3</v>
      </c>
      <c r="N80" s="31" t="str">
        <f t="shared" si="8"/>
        <v>YES</v>
      </c>
      <c r="O80" s="33"/>
    </row>
    <row r="81" spans="1:15" ht="15">
      <c r="A81" s="30">
        <v>76</v>
      </c>
      <c r="B81" s="31" t="s">
        <v>498</v>
      </c>
      <c r="C81" s="31" t="s">
        <v>479</v>
      </c>
      <c r="D81" s="31" t="s">
        <v>472</v>
      </c>
      <c r="E81" s="31" t="s">
        <v>473</v>
      </c>
      <c r="F81" s="31" t="s">
        <v>487</v>
      </c>
      <c r="G81" s="32" t="s">
        <v>42</v>
      </c>
      <c r="H81" s="32" t="s">
        <v>44</v>
      </c>
      <c r="I81" s="32" t="s">
        <v>44</v>
      </c>
      <c r="J81" s="31" t="str">
        <f t="shared" si="6"/>
        <v>VALID</v>
      </c>
      <c r="K81" s="45"/>
      <c r="L81" s="45"/>
      <c r="M81" s="31" t="str">
        <f t="shared" si="7"/>
        <v>A1</v>
      </c>
      <c r="N81" s="31" t="str">
        <f t="shared" si="8"/>
        <v>YES</v>
      </c>
      <c r="O81" s="33"/>
    </row>
    <row r="82" spans="1:15" ht="15">
      <c r="A82" s="30">
        <v>77</v>
      </c>
      <c r="B82" s="31" t="s">
        <v>498</v>
      </c>
      <c r="C82" s="31" t="s">
        <v>479</v>
      </c>
      <c r="D82" s="31" t="s">
        <v>477</v>
      </c>
      <c r="E82" s="31" t="s">
        <v>473</v>
      </c>
      <c r="F82" s="31" t="s">
        <v>492</v>
      </c>
      <c r="G82" s="32" t="s">
        <v>46</v>
      </c>
      <c r="H82" s="32" t="s">
        <v>48</v>
      </c>
      <c r="I82" s="32" t="s">
        <v>48</v>
      </c>
      <c r="J82" s="31" t="str">
        <f t="shared" si="6"/>
        <v>VALID</v>
      </c>
      <c r="K82" s="45"/>
      <c r="L82" s="45"/>
      <c r="M82" s="31" t="str">
        <f t="shared" si="7"/>
        <v>B1</v>
      </c>
      <c r="N82" s="31" t="str">
        <f t="shared" si="8"/>
        <v>YES</v>
      </c>
      <c r="O82" s="33"/>
    </row>
    <row r="83" spans="1:15" ht="15">
      <c r="A83" s="30">
        <v>78</v>
      </c>
      <c r="B83" s="31" t="s">
        <v>498</v>
      </c>
      <c r="C83" s="31" t="s">
        <v>479</v>
      </c>
      <c r="D83" s="31" t="s">
        <v>475</v>
      </c>
      <c r="E83" s="31" t="s">
        <v>473</v>
      </c>
      <c r="F83" s="31" t="s">
        <v>489</v>
      </c>
      <c r="G83" s="32" t="s">
        <v>47</v>
      </c>
      <c r="H83" s="32" t="s">
        <v>49</v>
      </c>
      <c r="I83" s="32" t="s">
        <v>49</v>
      </c>
      <c r="J83" s="31" t="str">
        <f t="shared" si="6"/>
        <v>VALID</v>
      </c>
      <c r="K83" s="45"/>
      <c r="L83" s="45"/>
      <c r="M83" s="31" t="str">
        <f t="shared" si="7"/>
        <v>B2</v>
      </c>
      <c r="N83" s="31" t="str">
        <f t="shared" si="8"/>
        <v>YES</v>
      </c>
      <c r="O83" s="33"/>
    </row>
    <row r="84" spans="1:15" ht="15">
      <c r="A84" s="30">
        <v>79</v>
      </c>
      <c r="B84" s="31" t="s">
        <v>498</v>
      </c>
      <c r="C84" s="31" t="s">
        <v>483</v>
      </c>
      <c r="D84" s="31" t="s">
        <v>472</v>
      </c>
      <c r="E84" s="31" t="s">
        <v>473</v>
      </c>
      <c r="F84" s="31" t="s">
        <v>474</v>
      </c>
      <c r="G84" s="32" t="s">
        <v>42</v>
      </c>
      <c r="H84" s="32" t="s">
        <v>43</v>
      </c>
      <c r="I84" s="32" t="s">
        <v>43</v>
      </c>
      <c r="J84" s="31" t="str">
        <f t="shared" si="6"/>
        <v>VALID</v>
      </c>
      <c r="K84" s="45"/>
      <c r="L84" s="45"/>
      <c r="M84" s="31" t="str">
        <f t="shared" si="7"/>
        <v>A1</v>
      </c>
      <c r="N84" s="31" t="str">
        <f t="shared" si="8"/>
        <v>YES</v>
      </c>
      <c r="O84" s="33"/>
    </row>
    <row r="85" spans="1:15" ht="15">
      <c r="A85" s="30">
        <v>80</v>
      </c>
      <c r="B85" s="31" t="s">
        <v>498</v>
      </c>
      <c r="C85" s="31" t="s">
        <v>483</v>
      </c>
      <c r="D85" s="31" t="s">
        <v>477</v>
      </c>
      <c r="E85" s="31" t="s">
        <v>473</v>
      </c>
      <c r="F85" s="31" t="s">
        <v>476</v>
      </c>
      <c r="G85" s="32" t="s">
        <v>44</v>
      </c>
      <c r="H85" s="32" t="s">
        <v>45</v>
      </c>
      <c r="I85" s="32" t="s">
        <v>45</v>
      </c>
      <c r="J85" s="31" t="str">
        <f t="shared" si="6"/>
        <v>VALID</v>
      </c>
      <c r="K85" s="45"/>
      <c r="L85" s="45"/>
      <c r="M85" s="31" t="str">
        <f t="shared" si="7"/>
        <v>A3</v>
      </c>
      <c r="N85" s="31" t="str">
        <f t="shared" si="8"/>
        <v>YES</v>
      </c>
      <c r="O85" s="33"/>
    </row>
    <row r="86" spans="1:15" ht="15">
      <c r="A86" s="30">
        <v>81</v>
      </c>
      <c r="B86" s="31" t="s">
        <v>498</v>
      </c>
      <c r="C86" s="31" t="s">
        <v>486</v>
      </c>
      <c r="D86" s="31" t="s">
        <v>477</v>
      </c>
      <c r="E86" s="31" t="s">
        <v>473</v>
      </c>
      <c r="F86" s="31" t="s">
        <v>480</v>
      </c>
      <c r="G86" s="32" t="s">
        <v>42</v>
      </c>
      <c r="H86" s="32" t="s">
        <v>45</v>
      </c>
      <c r="I86" s="32" t="s">
        <v>45</v>
      </c>
      <c r="J86" s="31" t="str">
        <f t="shared" si="6"/>
        <v>VALID</v>
      </c>
      <c r="K86" s="45"/>
      <c r="L86" s="45"/>
      <c r="M86" s="31" t="str">
        <f t="shared" si="7"/>
        <v>A1</v>
      </c>
      <c r="N86" s="31" t="str">
        <f t="shared" si="8"/>
        <v>YES</v>
      </c>
      <c r="O86" s="33"/>
    </row>
    <row r="87" spans="1:15" ht="15">
      <c r="A87" s="30">
        <v>82</v>
      </c>
      <c r="B87" s="31" t="s">
        <v>498</v>
      </c>
      <c r="C87" s="31" t="s">
        <v>486</v>
      </c>
      <c r="D87" s="31" t="s">
        <v>472</v>
      </c>
      <c r="E87" s="31" t="s">
        <v>473</v>
      </c>
      <c r="F87" s="31" t="s">
        <v>478</v>
      </c>
      <c r="G87" s="32" t="s">
        <v>46</v>
      </c>
      <c r="H87" s="32" t="s">
        <v>49</v>
      </c>
      <c r="I87" s="32" t="s">
        <v>49</v>
      </c>
      <c r="J87" s="31" t="str">
        <f t="shared" si="6"/>
        <v>VALID</v>
      </c>
      <c r="K87" s="45"/>
      <c r="L87" s="45"/>
      <c r="M87" s="31" t="str">
        <f t="shared" si="7"/>
        <v>B1</v>
      </c>
      <c r="N87" s="31" t="str">
        <f t="shared" si="8"/>
        <v>YES</v>
      </c>
      <c r="O87" s="33"/>
    </row>
    <row r="88" spans="1:15" ht="15">
      <c r="A88" s="30">
        <v>83</v>
      </c>
      <c r="B88" s="31" t="s">
        <v>498</v>
      </c>
      <c r="C88" s="31" t="s">
        <v>486</v>
      </c>
      <c r="D88" s="31" t="s">
        <v>475</v>
      </c>
      <c r="E88" s="31" t="s">
        <v>473</v>
      </c>
      <c r="F88" s="31" t="s">
        <v>482</v>
      </c>
      <c r="G88" s="32" t="s">
        <v>47</v>
      </c>
      <c r="H88" s="32" t="s">
        <v>48</v>
      </c>
      <c r="I88" s="32" t="s">
        <v>48</v>
      </c>
      <c r="J88" s="31" t="str">
        <f t="shared" si="6"/>
        <v>VALID</v>
      </c>
      <c r="K88" s="45"/>
      <c r="L88" s="45"/>
      <c r="M88" s="31" t="str">
        <f t="shared" si="7"/>
        <v>B2</v>
      </c>
      <c r="N88" s="31" t="str">
        <f t="shared" si="8"/>
        <v>YES</v>
      </c>
      <c r="O88" s="33"/>
    </row>
    <row r="89" spans="1:15" ht="15">
      <c r="A89" s="30">
        <v>84</v>
      </c>
      <c r="B89" s="31" t="s">
        <v>498</v>
      </c>
      <c r="C89" s="31" t="s">
        <v>490</v>
      </c>
      <c r="D89" s="31" t="s">
        <v>491</v>
      </c>
      <c r="E89" s="31" t="s">
        <v>473</v>
      </c>
      <c r="F89" s="31" t="s">
        <v>481</v>
      </c>
      <c r="G89" s="32" t="s">
        <v>43</v>
      </c>
      <c r="H89" s="32" t="s">
        <v>44</v>
      </c>
      <c r="I89" s="32" t="s">
        <v>44</v>
      </c>
      <c r="J89" s="31" t="str">
        <f t="shared" si="6"/>
        <v>VALID</v>
      </c>
      <c r="K89" s="45"/>
      <c r="L89" s="45"/>
      <c r="M89" s="31" t="str">
        <f t="shared" si="7"/>
        <v>A2</v>
      </c>
      <c r="N89" s="31" t="str">
        <f t="shared" si="8"/>
        <v>YES</v>
      </c>
      <c r="O89" s="33"/>
    </row>
    <row r="90" spans="1:15" ht="15">
      <c r="A90" s="30">
        <v>85</v>
      </c>
      <c r="B90" s="31" t="s">
        <v>499</v>
      </c>
      <c r="C90" s="31" t="s">
        <v>471</v>
      </c>
      <c r="D90" s="31" t="s">
        <v>472</v>
      </c>
      <c r="E90" s="31" t="s">
        <v>473</v>
      </c>
      <c r="F90" s="31" t="s">
        <v>481</v>
      </c>
      <c r="G90" s="32" t="s">
        <v>43</v>
      </c>
      <c r="H90" s="32" t="s">
        <v>44</v>
      </c>
      <c r="I90" s="32" t="s">
        <v>44</v>
      </c>
      <c r="J90" s="31" t="str">
        <f t="shared" si="6"/>
        <v>VALID</v>
      </c>
      <c r="K90" s="45"/>
      <c r="L90" s="45"/>
      <c r="M90" s="31" t="str">
        <f t="shared" si="7"/>
        <v>A2</v>
      </c>
      <c r="N90" s="31" t="str">
        <f t="shared" si="8"/>
        <v>YES</v>
      </c>
      <c r="O90" s="33"/>
    </row>
    <row r="91" spans="1:15" ht="15">
      <c r="A91" s="30">
        <v>86</v>
      </c>
      <c r="B91" s="31" t="s">
        <v>499</v>
      </c>
      <c r="C91" s="31" t="s">
        <v>471</v>
      </c>
      <c r="D91" s="31" t="s">
        <v>475</v>
      </c>
      <c r="E91" s="31" t="s">
        <v>473</v>
      </c>
      <c r="F91" s="31" t="s">
        <v>484</v>
      </c>
      <c r="G91" s="32" t="s">
        <v>46</v>
      </c>
      <c r="H91" s="32" t="s">
        <v>47</v>
      </c>
      <c r="I91" s="32" t="s">
        <v>47</v>
      </c>
      <c r="J91" s="31" t="str">
        <f t="shared" si="6"/>
        <v>VALID</v>
      </c>
      <c r="K91" s="45"/>
      <c r="L91" s="45"/>
      <c r="M91" s="31" t="str">
        <f t="shared" si="7"/>
        <v>B1</v>
      </c>
      <c r="N91" s="31" t="str">
        <f t="shared" si="8"/>
        <v>YES</v>
      </c>
      <c r="O91" s="33"/>
    </row>
    <row r="92" spans="1:15" ht="15">
      <c r="A92" s="30">
        <v>87</v>
      </c>
      <c r="B92" s="31" t="s">
        <v>499</v>
      </c>
      <c r="C92" s="31" t="s">
        <v>471</v>
      </c>
      <c r="D92" s="31" t="s">
        <v>477</v>
      </c>
      <c r="E92" s="31" t="s">
        <v>473</v>
      </c>
      <c r="F92" s="31" t="s">
        <v>485</v>
      </c>
      <c r="G92" s="32" t="s">
        <v>48</v>
      </c>
      <c r="H92" s="32" t="s">
        <v>49</v>
      </c>
      <c r="I92" s="32" t="s">
        <v>49</v>
      </c>
      <c r="J92" s="31" t="str">
        <f t="shared" si="6"/>
        <v>VALID</v>
      </c>
      <c r="K92" s="45"/>
      <c r="L92" s="45"/>
      <c r="M92" s="31" t="str">
        <f t="shared" si="7"/>
        <v>B3</v>
      </c>
      <c r="N92" s="31" t="str">
        <f t="shared" si="8"/>
        <v>YES</v>
      </c>
      <c r="O92" s="33"/>
    </row>
    <row r="93" spans="1:15" ht="15">
      <c r="A93" s="30">
        <v>88</v>
      </c>
      <c r="B93" s="31" t="s">
        <v>499</v>
      </c>
      <c r="C93" s="31" t="s">
        <v>479</v>
      </c>
      <c r="D93" s="31" t="s">
        <v>475</v>
      </c>
      <c r="E93" s="31" t="s">
        <v>473</v>
      </c>
      <c r="F93" s="31" t="s">
        <v>487</v>
      </c>
      <c r="G93" s="32" t="s">
        <v>42</v>
      </c>
      <c r="H93" s="32" t="s">
        <v>44</v>
      </c>
      <c r="I93" s="32" t="s">
        <v>44</v>
      </c>
      <c r="J93" s="31" t="str">
        <f t="shared" si="6"/>
        <v>VALID</v>
      </c>
      <c r="K93" s="45"/>
      <c r="L93" s="45"/>
      <c r="M93" s="31" t="str">
        <f t="shared" si="7"/>
        <v>A1</v>
      </c>
      <c r="N93" s="31" t="str">
        <f t="shared" si="8"/>
        <v>YES</v>
      </c>
      <c r="O93" s="33"/>
    </row>
    <row r="94" spans="1:15" ht="15">
      <c r="A94" s="30">
        <v>89</v>
      </c>
      <c r="B94" s="31" t="s">
        <v>499</v>
      </c>
      <c r="C94" s="31" t="s">
        <v>479</v>
      </c>
      <c r="D94" s="31" t="s">
        <v>472</v>
      </c>
      <c r="E94" s="31" t="s">
        <v>473</v>
      </c>
      <c r="F94" s="31" t="s">
        <v>488</v>
      </c>
      <c r="G94" s="32" t="s">
        <v>43</v>
      </c>
      <c r="H94" s="32" t="s">
        <v>45</v>
      </c>
      <c r="I94" s="32" t="s">
        <v>45</v>
      </c>
      <c r="J94" s="31" t="str">
        <f t="shared" si="6"/>
        <v>VALID</v>
      </c>
      <c r="K94" s="45"/>
      <c r="L94" s="45"/>
      <c r="M94" s="31" t="str">
        <f t="shared" si="7"/>
        <v>A2</v>
      </c>
      <c r="N94" s="31" t="str">
        <f t="shared" si="8"/>
        <v>YES</v>
      </c>
      <c r="O94" s="33"/>
    </row>
    <row r="95" spans="1:15" ht="15">
      <c r="A95" s="30">
        <v>90</v>
      </c>
      <c r="B95" s="31" t="s">
        <v>499</v>
      </c>
      <c r="C95" s="31" t="s">
        <v>479</v>
      </c>
      <c r="D95" s="31" t="s">
        <v>477</v>
      </c>
      <c r="E95" s="31" t="s">
        <v>473</v>
      </c>
      <c r="F95" s="31" t="s">
        <v>489</v>
      </c>
      <c r="G95" s="32" t="s">
        <v>47</v>
      </c>
      <c r="H95" s="32" t="s">
        <v>49</v>
      </c>
      <c r="I95" s="32" t="s">
        <v>49</v>
      </c>
      <c r="J95" s="31" t="str">
        <f t="shared" si="6"/>
        <v>VALID</v>
      </c>
      <c r="K95" s="45"/>
      <c r="L95" s="45"/>
      <c r="M95" s="31" t="str">
        <f t="shared" si="7"/>
        <v>B2</v>
      </c>
      <c r="N95" s="31" t="str">
        <f t="shared" si="8"/>
        <v>YES</v>
      </c>
      <c r="O95" s="33"/>
    </row>
    <row r="96" spans="1:15" ht="15">
      <c r="A96" s="30">
        <v>91</v>
      </c>
      <c r="B96" s="31" t="s">
        <v>499</v>
      </c>
      <c r="C96" s="31" t="s">
        <v>483</v>
      </c>
      <c r="D96" s="31" t="s">
        <v>477</v>
      </c>
      <c r="E96" s="31" t="s">
        <v>473</v>
      </c>
      <c r="F96" s="31" t="s">
        <v>474</v>
      </c>
      <c r="G96" s="32" t="s">
        <v>42</v>
      </c>
      <c r="H96" s="32" t="s">
        <v>43</v>
      </c>
      <c r="I96" s="32" t="s">
        <v>43</v>
      </c>
      <c r="J96" s="31" t="str">
        <f t="shared" si="6"/>
        <v>VALID</v>
      </c>
      <c r="K96" s="45"/>
      <c r="L96" s="45"/>
      <c r="M96" s="31" t="str">
        <f t="shared" si="7"/>
        <v>A1</v>
      </c>
      <c r="N96" s="31" t="str">
        <f t="shared" si="8"/>
        <v>YES</v>
      </c>
      <c r="O96" s="33"/>
    </row>
    <row r="97" spans="1:15" ht="15">
      <c r="A97" s="30">
        <v>92</v>
      </c>
      <c r="B97" s="31" t="s">
        <v>499</v>
      </c>
      <c r="C97" s="31" t="s">
        <v>483</v>
      </c>
      <c r="D97" s="31" t="s">
        <v>472</v>
      </c>
      <c r="E97" s="31" t="s">
        <v>473</v>
      </c>
      <c r="F97" s="31" t="s">
        <v>492</v>
      </c>
      <c r="G97" s="32" t="s">
        <v>46</v>
      </c>
      <c r="H97" s="32" t="s">
        <v>48</v>
      </c>
      <c r="I97" s="32" t="s">
        <v>48</v>
      </c>
      <c r="J97" s="31" t="str">
        <f t="shared" si="6"/>
        <v>VALID</v>
      </c>
      <c r="K97" s="45"/>
      <c r="L97" s="45"/>
      <c r="M97" s="31" t="str">
        <f t="shared" si="7"/>
        <v>B1</v>
      </c>
      <c r="N97" s="31" t="str">
        <f t="shared" si="8"/>
        <v>YES</v>
      </c>
      <c r="O97" s="33"/>
    </row>
    <row r="98" spans="1:15" ht="15">
      <c r="A98" s="30">
        <v>93</v>
      </c>
      <c r="B98" s="31" t="s">
        <v>499</v>
      </c>
      <c r="C98" s="31" t="s">
        <v>486</v>
      </c>
      <c r="D98" s="31" t="s">
        <v>472</v>
      </c>
      <c r="E98" s="31" t="s">
        <v>473</v>
      </c>
      <c r="F98" s="31" t="s">
        <v>476</v>
      </c>
      <c r="G98" s="32" t="s">
        <v>44</v>
      </c>
      <c r="H98" s="32" t="s">
        <v>45</v>
      </c>
      <c r="I98" s="32" t="s">
        <v>45</v>
      </c>
      <c r="J98" s="31" t="str">
        <f t="shared" si="6"/>
        <v>VALID</v>
      </c>
      <c r="K98" s="45"/>
      <c r="L98" s="45"/>
      <c r="M98" s="31" t="str">
        <f t="shared" si="7"/>
        <v>A3</v>
      </c>
      <c r="N98" s="31" t="str">
        <f t="shared" si="8"/>
        <v>YES</v>
      </c>
      <c r="O98" s="33"/>
    </row>
    <row r="99" spans="1:15" ht="15">
      <c r="A99" s="30">
        <v>94</v>
      </c>
      <c r="B99" s="31" t="s">
        <v>499</v>
      </c>
      <c r="C99" s="31" t="s">
        <v>486</v>
      </c>
      <c r="D99" s="31" t="s">
        <v>475</v>
      </c>
      <c r="E99" s="31" t="s">
        <v>473</v>
      </c>
      <c r="F99" s="31" t="s">
        <v>478</v>
      </c>
      <c r="G99" s="32" t="s">
        <v>46</v>
      </c>
      <c r="H99" s="32" t="s">
        <v>49</v>
      </c>
      <c r="I99" s="32" t="s">
        <v>49</v>
      </c>
      <c r="J99" s="31" t="str">
        <f t="shared" si="6"/>
        <v>VALID</v>
      </c>
      <c r="K99" s="45"/>
      <c r="L99" s="45"/>
      <c r="M99" s="31" t="str">
        <f t="shared" si="7"/>
        <v>B1</v>
      </c>
      <c r="N99" s="31" t="str">
        <f t="shared" si="8"/>
        <v>YES</v>
      </c>
      <c r="O99" s="33"/>
    </row>
    <row r="100" spans="1:15" ht="15">
      <c r="A100" s="30">
        <v>95</v>
      </c>
      <c r="B100" s="31" t="s">
        <v>499</v>
      </c>
      <c r="C100" s="31" t="s">
        <v>486</v>
      </c>
      <c r="D100" s="31" t="s">
        <v>477</v>
      </c>
      <c r="E100" s="31" t="s">
        <v>473</v>
      </c>
      <c r="F100" s="31" t="s">
        <v>482</v>
      </c>
      <c r="G100" s="32" t="s">
        <v>47</v>
      </c>
      <c r="H100" s="32" t="s">
        <v>48</v>
      </c>
      <c r="I100" s="32" t="s">
        <v>48</v>
      </c>
      <c r="J100" s="31" t="str">
        <f t="shared" si="6"/>
        <v>VALID</v>
      </c>
      <c r="K100" s="45"/>
      <c r="L100" s="45"/>
      <c r="M100" s="31" t="str">
        <f t="shared" si="7"/>
        <v>B2</v>
      </c>
      <c r="N100" s="31" t="str">
        <f t="shared" si="8"/>
        <v>YES</v>
      </c>
      <c r="O100" s="33"/>
    </row>
    <row r="101" spans="1:15" ht="15">
      <c r="A101" s="30">
        <v>96</v>
      </c>
      <c r="B101" s="31" t="s">
        <v>499</v>
      </c>
      <c r="C101" s="31" t="s">
        <v>490</v>
      </c>
      <c r="D101" s="31" t="s">
        <v>491</v>
      </c>
      <c r="E101" s="31" t="s">
        <v>473</v>
      </c>
      <c r="F101" s="31" t="s">
        <v>480</v>
      </c>
      <c r="G101" s="32" t="s">
        <v>42</v>
      </c>
      <c r="H101" s="32" t="s">
        <v>45</v>
      </c>
      <c r="I101" s="32" t="s">
        <v>45</v>
      </c>
      <c r="J101" s="31" t="str">
        <f t="shared" si="6"/>
        <v>VALID</v>
      </c>
      <c r="K101" s="45"/>
      <c r="L101" s="45"/>
      <c r="M101" s="31" t="str">
        <f t="shared" si="7"/>
        <v>A1</v>
      </c>
      <c r="N101" s="31" t="str">
        <f t="shared" si="8"/>
        <v>YES</v>
      </c>
      <c r="O101" s="33"/>
    </row>
    <row r="102" spans="1:15" ht="15">
      <c r="A102" s="30">
        <v>97</v>
      </c>
      <c r="B102" s="31" t="s">
        <v>500</v>
      </c>
      <c r="C102" s="31" t="s">
        <v>471</v>
      </c>
      <c r="D102" s="31" t="s">
        <v>472</v>
      </c>
      <c r="E102" s="31" t="s">
        <v>473</v>
      </c>
      <c r="F102" s="31" t="s">
        <v>480</v>
      </c>
      <c r="G102" s="32" t="s">
        <v>42</v>
      </c>
      <c r="H102" s="32" t="s">
        <v>45</v>
      </c>
      <c r="I102" s="32" t="s">
        <v>45</v>
      </c>
      <c r="J102" s="31" t="str">
        <f t="shared" ref="J102:J133" si="9">IF(I102="","PENDING",IF(OR(I102=G102,I102=H102),"VALID","CHECK WINNER"))</f>
        <v>VALID</v>
      </c>
      <c r="K102" s="45"/>
      <c r="L102" s="45"/>
      <c r="M102" s="31" t="str">
        <f t="shared" ref="M102:M133" si="10">IF(J102="VALID",IF(I102=G102,H102,G102),"")</f>
        <v>A1</v>
      </c>
      <c r="N102" s="31" t="str">
        <f t="shared" ref="N102:N133" si="11">IF(J102="VALID","YES","NO")</f>
        <v>YES</v>
      </c>
      <c r="O102" s="33"/>
    </row>
    <row r="103" spans="1:15" ht="15">
      <c r="A103" s="30">
        <v>98</v>
      </c>
      <c r="B103" s="31" t="s">
        <v>500</v>
      </c>
      <c r="C103" s="31" t="s">
        <v>471</v>
      </c>
      <c r="D103" s="31" t="s">
        <v>475</v>
      </c>
      <c r="E103" s="31" t="s">
        <v>473</v>
      </c>
      <c r="F103" s="31" t="s">
        <v>481</v>
      </c>
      <c r="G103" s="32" t="s">
        <v>43</v>
      </c>
      <c r="H103" s="32" t="s">
        <v>44</v>
      </c>
      <c r="I103" s="32" t="s">
        <v>44</v>
      </c>
      <c r="J103" s="31" t="str">
        <f t="shared" si="9"/>
        <v>VALID</v>
      </c>
      <c r="K103" s="45"/>
      <c r="L103" s="45"/>
      <c r="M103" s="31" t="str">
        <f t="shared" si="10"/>
        <v>A2</v>
      </c>
      <c r="N103" s="31" t="str">
        <f t="shared" si="11"/>
        <v>YES</v>
      </c>
      <c r="O103" s="33"/>
    </row>
    <row r="104" spans="1:15" ht="15">
      <c r="A104" s="30">
        <v>99</v>
      </c>
      <c r="B104" s="31" t="s">
        <v>500</v>
      </c>
      <c r="C104" s="31" t="s">
        <v>471</v>
      </c>
      <c r="D104" s="31" t="s">
        <v>477</v>
      </c>
      <c r="E104" s="31" t="s">
        <v>473</v>
      </c>
      <c r="F104" s="31" t="s">
        <v>484</v>
      </c>
      <c r="G104" s="32" t="s">
        <v>46</v>
      </c>
      <c r="H104" s="32" t="s">
        <v>47</v>
      </c>
      <c r="I104" s="32" t="s">
        <v>47</v>
      </c>
      <c r="J104" s="31" t="str">
        <f t="shared" si="9"/>
        <v>VALID</v>
      </c>
      <c r="K104" s="45"/>
      <c r="L104" s="45"/>
      <c r="M104" s="31" t="str">
        <f t="shared" si="10"/>
        <v>B1</v>
      </c>
      <c r="N104" s="31" t="str">
        <f t="shared" si="11"/>
        <v>YES</v>
      </c>
      <c r="O104" s="33"/>
    </row>
    <row r="105" spans="1:15" ht="15">
      <c r="A105" s="30">
        <v>100</v>
      </c>
      <c r="B105" s="31" t="s">
        <v>500</v>
      </c>
      <c r="C105" s="31" t="s">
        <v>479</v>
      </c>
      <c r="D105" s="31" t="s">
        <v>477</v>
      </c>
      <c r="E105" s="31" t="s">
        <v>473</v>
      </c>
      <c r="F105" s="31" t="s">
        <v>487</v>
      </c>
      <c r="G105" s="32" t="s">
        <v>42</v>
      </c>
      <c r="H105" s="32" t="s">
        <v>44</v>
      </c>
      <c r="I105" s="32" t="s">
        <v>44</v>
      </c>
      <c r="J105" s="31" t="str">
        <f t="shared" si="9"/>
        <v>VALID</v>
      </c>
      <c r="K105" s="45"/>
      <c r="L105" s="45"/>
      <c r="M105" s="31" t="str">
        <f t="shared" si="10"/>
        <v>A1</v>
      </c>
      <c r="N105" s="31" t="str">
        <f t="shared" si="11"/>
        <v>YES</v>
      </c>
      <c r="O105" s="33"/>
    </row>
    <row r="106" spans="1:15" ht="15">
      <c r="A106" s="30">
        <v>101</v>
      </c>
      <c r="B106" s="31" t="s">
        <v>500</v>
      </c>
      <c r="C106" s="31" t="s">
        <v>479</v>
      </c>
      <c r="D106" s="31" t="s">
        <v>475</v>
      </c>
      <c r="E106" s="31" t="s">
        <v>473</v>
      </c>
      <c r="F106" s="31" t="s">
        <v>488</v>
      </c>
      <c r="G106" s="32" t="s">
        <v>43</v>
      </c>
      <c r="H106" s="32" t="s">
        <v>45</v>
      </c>
      <c r="I106" s="32" t="s">
        <v>45</v>
      </c>
      <c r="J106" s="31" t="str">
        <f t="shared" si="9"/>
        <v>VALID</v>
      </c>
      <c r="K106" s="45"/>
      <c r="L106" s="45"/>
      <c r="M106" s="31" t="str">
        <f t="shared" si="10"/>
        <v>A2</v>
      </c>
      <c r="N106" s="31" t="str">
        <f t="shared" si="11"/>
        <v>YES</v>
      </c>
      <c r="O106" s="33"/>
    </row>
    <row r="107" spans="1:15" ht="15">
      <c r="A107" s="30">
        <v>102</v>
      </c>
      <c r="B107" s="31" t="s">
        <v>500</v>
      </c>
      <c r="C107" s="31" t="s">
        <v>479</v>
      </c>
      <c r="D107" s="31" t="s">
        <v>472</v>
      </c>
      <c r="E107" s="31" t="s">
        <v>473</v>
      </c>
      <c r="F107" s="31" t="s">
        <v>485</v>
      </c>
      <c r="G107" s="32" t="s">
        <v>48</v>
      </c>
      <c r="H107" s="32" t="s">
        <v>49</v>
      </c>
      <c r="I107" s="32" t="s">
        <v>49</v>
      </c>
      <c r="J107" s="31" t="str">
        <f t="shared" si="9"/>
        <v>VALID</v>
      </c>
      <c r="K107" s="45"/>
      <c r="L107" s="45"/>
      <c r="M107" s="31" t="str">
        <f t="shared" si="10"/>
        <v>B3</v>
      </c>
      <c r="N107" s="31" t="str">
        <f t="shared" si="11"/>
        <v>YES</v>
      </c>
      <c r="O107" s="33"/>
    </row>
    <row r="108" spans="1:15" ht="15">
      <c r="A108" s="30">
        <v>103</v>
      </c>
      <c r="B108" s="31" t="s">
        <v>500</v>
      </c>
      <c r="C108" s="31" t="s">
        <v>483</v>
      </c>
      <c r="D108" s="31" t="s">
        <v>477</v>
      </c>
      <c r="E108" s="31" t="s">
        <v>473</v>
      </c>
      <c r="F108" s="31" t="s">
        <v>492</v>
      </c>
      <c r="G108" s="32" t="s">
        <v>46</v>
      </c>
      <c r="H108" s="32" t="s">
        <v>48</v>
      </c>
      <c r="I108" s="32" t="s">
        <v>48</v>
      </c>
      <c r="J108" s="31" t="str">
        <f t="shared" si="9"/>
        <v>VALID</v>
      </c>
      <c r="K108" s="45"/>
      <c r="L108" s="45"/>
      <c r="M108" s="31" t="str">
        <f t="shared" si="10"/>
        <v>B1</v>
      </c>
      <c r="N108" s="31" t="str">
        <f t="shared" si="11"/>
        <v>YES</v>
      </c>
      <c r="O108" s="33"/>
    </row>
    <row r="109" spans="1:15" ht="15">
      <c r="A109" s="30">
        <v>104</v>
      </c>
      <c r="B109" s="31" t="s">
        <v>500</v>
      </c>
      <c r="C109" s="31" t="s">
        <v>483</v>
      </c>
      <c r="D109" s="31" t="s">
        <v>472</v>
      </c>
      <c r="E109" s="31" t="s">
        <v>473</v>
      </c>
      <c r="F109" s="31" t="s">
        <v>489</v>
      </c>
      <c r="G109" s="32" t="s">
        <v>47</v>
      </c>
      <c r="H109" s="32" t="s">
        <v>49</v>
      </c>
      <c r="I109" s="32" t="s">
        <v>49</v>
      </c>
      <c r="J109" s="31" t="str">
        <f t="shared" si="9"/>
        <v>VALID</v>
      </c>
      <c r="K109" s="45"/>
      <c r="L109" s="45"/>
      <c r="M109" s="31" t="str">
        <f t="shared" si="10"/>
        <v>B2</v>
      </c>
      <c r="N109" s="31" t="str">
        <f t="shared" si="11"/>
        <v>YES</v>
      </c>
      <c r="O109" s="33"/>
    </row>
    <row r="110" spans="1:15" ht="15">
      <c r="A110" s="30">
        <v>105</v>
      </c>
      <c r="B110" s="31" t="s">
        <v>500</v>
      </c>
      <c r="C110" s="31" t="s">
        <v>486</v>
      </c>
      <c r="D110" s="31" t="s">
        <v>472</v>
      </c>
      <c r="E110" s="31" t="s">
        <v>473</v>
      </c>
      <c r="F110" s="31" t="s">
        <v>474</v>
      </c>
      <c r="G110" s="32" t="s">
        <v>42</v>
      </c>
      <c r="H110" s="32" t="s">
        <v>43</v>
      </c>
      <c r="I110" s="32" t="s">
        <v>42</v>
      </c>
      <c r="J110" s="31" t="str">
        <f t="shared" si="9"/>
        <v>VALID</v>
      </c>
      <c r="K110" s="45"/>
      <c r="L110" s="45"/>
      <c r="M110" s="31" t="str">
        <f t="shared" si="10"/>
        <v>A2</v>
      </c>
      <c r="N110" s="31" t="str">
        <f t="shared" si="11"/>
        <v>YES</v>
      </c>
      <c r="O110" s="33"/>
    </row>
    <row r="111" spans="1:15" ht="15">
      <c r="A111" s="30">
        <v>106</v>
      </c>
      <c r="B111" s="31" t="s">
        <v>500</v>
      </c>
      <c r="C111" s="31" t="s">
        <v>486</v>
      </c>
      <c r="D111" s="31" t="s">
        <v>475</v>
      </c>
      <c r="E111" s="31" t="s">
        <v>473</v>
      </c>
      <c r="F111" s="31" t="s">
        <v>476</v>
      </c>
      <c r="G111" s="32" t="s">
        <v>44</v>
      </c>
      <c r="H111" s="32" t="s">
        <v>45</v>
      </c>
      <c r="I111" s="32" t="s">
        <v>45</v>
      </c>
      <c r="J111" s="31" t="str">
        <f t="shared" si="9"/>
        <v>VALID</v>
      </c>
      <c r="K111" s="45"/>
      <c r="L111" s="45"/>
      <c r="M111" s="31" t="str">
        <f t="shared" si="10"/>
        <v>A3</v>
      </c>
      <c r="N111" s="31" t="str">
        <f t="shared" si="11"/>
        <v>YES</v>
      </c>
      <c r="O111" s="33"/>
    </row>
    <row r="112" spans="1:15" ht="15">
      <c r="A112" s="30">
        <v>107</v>
      </c>
      <c r="B112" s="31" t="s">
        <v>500</v>
      </c>
      <c r="C112" s="31" t="s">
        <v>486</v>
      </c>
      <c r="D112" s="31" t="s">
        <v>477</v>
      </c>
      <c r="E112" s="31" t="s">
        <v>473</v>
      </c>
      <c r="F112" s="31" t="s">
        <v>478</v>
      </c>
      <c r="G112" s="32" t="s">
        <v>46</v>
      </c>
      <c r="H112" s="32" t="s">
        <v>49</v>
      </c>
      <c r="I112" s="32" t="s">
        <v>49</v>
      </c>
      <c r="J112" s="31" t="str">
        <f t="shared" si="9"/>
        <v>VALID</v>
      </c>
      <c r="K112" s="45"/>
      <c r="L112" s="45"/>
      <c r="M112" s="31" t="str">
        <f t="shared" si="10"/>
        <v>B1</v>
      </c>
      <c r="N112" s="31" t="str">
        <f t="shared" si="11"/>
        <v>YES</v>
      </c>
      <c r="O112" s="33"/>
    </row>
    <row r="113" spans="1:15" ht="15">
      <c r="A113" s="30">
        <v>108</v>
      </c>
      <c r="B113" s="31" t="s">
        <v>500</v>
      </c>
      <c r="C113" s="31" t="s">
        <v>490</v>
      </c>
      <c r="D113" s="31" t="s">
        <v>491</v>
      </c>
      <c r="E113" s="31" t="s">
        <v>473</v>
      </c>
      <c r="F113" s="31" t="s">
        <v>482</v>
      </c>
      <c r="G113" s="32" t="s">
        <v>47</v>
      </c>
      <c r="H113" s="32" t="s">
        <v>48</v>
      </c>
      <c r="I113" s="32" t="s">
        <v>48</v>
      </c>
      <c r="J113" s="31" t="str">
        <f t="shared" si="9"/>
        <v>VALID</v>
      </c>
      <c r="K113" s="45"/>
      <c r="L113" s="45"/>
      <c r="M113" s="31" t="str">
        <f t="shared" si="10"/>
        <v>B2</v>
      </c>
      <c r="N113" s="31" t="str">
        <f t="shared" si="11"/>
        <v>YES</v>
      </c>
      <c r="O113" s="33"/>
    </row>
    <row r="114" spans="1:15" ht="15">
      <c r="A114" s="30">
        <v>109</v>
      </c>
      <c r="B114" s="31" t="s">
        <v>501</v>
      </c>
      <c r="C114" s="31" t="s">
        <v>471</v>
      </c>
      <c r="D114" s="31" t="s">
        <v>475</v>
      </c>
      <c r="E114" s="31" t="s">
        <v>473</v>
      </c>
      <c r="F114" s="31" t="s">
        <v>480</v>
      </c>
      <c r="G114" s="32" t="s">
        <v>42</v>
      </c>
      <c r="H114" s="32" t="s">
        <v>45</v>
      </c>
      <c r="I114" s="32" t="s">
        <v>45</v>
      </c>
      <c r="J114" s="31" t="str">
        <f t="shared" si="9"/>
        <v>VALID</v>
      </c>
      <c r="K114" s="45"/>
      <c r="L114" s="45"/>
      <c r="M114" s="31" t="str">
        <f t="shared" si="10"/>
        <v>A1</v>
      </c>
      <c r="N114" s="31" t="str">
        <f t="shared" si="11"/>
        <v>YES</v>
      </c>
      <c r="O114" s="33"/>
    </row>
    <row r="115" spans="1:15" ht="15">
      <c r="A115" s="30">
        <v>110</v>
      </c>
      <c r="B115" s="31" t="s">
        <v>501</v>
      </c>
      <c r="C115" s="31" t="s">
        <v>471</v>
      </c>
      <c r="D115" s="31" t="s">
        <v>477</v>
      </c>
      <c r="E115" s="31" t="s">
        <v>473</v>
      </c>
      <c r="F115" s="31" t="s">
        <v>481</v>
      </c>
      <c r="G115" s="32" t="s">
        <v>43</v>
      </c>
      <c r="H115" s="32" t="s">
        <v>44</v>
      </c>
      <c r="I115" s="32" t="s">
        <v>44</v>
      </c>
      <c r="J115" s="31" t="str">
        <f t="shared" si="9"/>
        <v>VALID</v>
      </c>
      <c r="K115" s="45"/>
      <c r="L115" s="45"/>
      <c r="M115" s="31" t="str">
        <f t="shared" si="10"/>
        <v>A2</v>
      </c>
      <c r="N115" s="31" t="str">
        <f t="shared" si="11"/>
        <v>YES</v>
      </c>
      <c r="O115" s="33"/>
    </row>
    <row r="116" spans="1:15" ht="15">
      <c r="A116" s="30">
        <v>111</v>
      </c>
      <c r="B116" s="31" t="s">
        <v>501</v>
      </c>
      <c r="C116" s="31" t="s">
        <v>471</v>
      </c>
      <c r="D116" s="31" t="s">
        <v>472</v>
      </c>
      <c r="E116" s="31" t="s">
        <v>473</v>
      </c>
      <c r="F116" s="31" t="s">
        <v>482</v>
      </c>
      <c r="G116" s="32" t="s">
        <v>47</v>
      </c>
      <c r="H116" s="32" t="s">
        <v>48</v>
      </c>
      <c r="I116" s="32" t="s">
        <v>48</v>
      </c>
      <c r="J116" s="31" t="str">
        <f t="shared" si="9"/>
        <v>VALID</v>
      </c>
      <c r="K116" s="45"/>
      <c r="L116" s="45"/>
      <c r="M116" s="31" t="str">
        <f t="shared" si="10"/>
        <v>B2</v>
      </c>
      <c r="N116" s="31" t="str">
        <f t="shared" si="11"/>
        <v>YES</v>
      </c>
      <c r="O116" s="33"/>
    </row>
    <row r="117" spans="1:15" ht="15">
      <c r="A117" s="30">
        <v>112</v>
      </c>
      <c r="B117" s="31" t="s">
        <v>501</v>
      </c>
      <c r="C117" s="31" t="s">
        <v>479</v>
      </c>
      <c r="D117" s="31" t="s">
        <v>477</v>
      </c>
      <c r="E117" s="31" t="s">
        <v>473</v>
      </c>
      <c r="F117" s="31" t="s">
        <v>488</v>
      </c>
      <c r="G117" s="32" t="s">
        <v>43</v>
      </c>
      <c r="H117" s="32" t="s">
        <v>45</v>
      </c>
      <c r="I117" s="32" t="s">
        <v>45</v>
      </c>
      <c r="J117" s="31" t="str">
        <f t="shared" si="9"/>
        <v>VALID</v>
      </c>
      <c r="K117" s="45"/>
      <c r="L117" s="45"/>
      <c r="M117" s="31" t="str">
        <f t="shared" si="10"/>
        <v>A2</v>
      </c>
      <c r="N117" s="31" t="str">
        <f t="shared" si="11"/>
        <v>YES</v>
      </c>
      <c r="O117" s="33"/>
    </row>
    <row r="118" spans="1:15" ht="15">
      <c r="A118" s="30">
        <v>113</v>
      </c>
      <c r="B118" s="31" t="s">
        <v>501</v>
      </c>
      <c r="C118" s="31" t="s">
        <v>479</v>
      </c>
      <c r="D118" s="31" t="s">
        <v>472</v>
      </c>
      <c r="E118" s="31" t="s">
        <v>473</v>
      </c>
      <c r="F118" s="31" t="s">
        <v>484</v>
      </c>
      <c r="G118" s="32" t="s">
        <v>46</v>
      </c>
      <c r="H118" s="32" t="s">
        <v>47</v>
      </c>
      <c r="I118" s="32" t="s">
        <v>47</v>
      </c>
      <c r="J118" s="31" t="str">
        <f t="shared" si="9"/>
        <v>VALID</v>
      </c>
      <c r="K118" s="45"/>
      <c r="L118" s="45"/>
      <c r="M118" s="31" t="str">
        <f t="shared" si="10"/>
        <v>B1</v>
      </c>
      <c r="N118" s="31" t="str">
        <f t="shared" si="11"/>
        <v>YES</v>
      </c>
      <c r="O118" s="33"/>
    </row>
    <row r="119" spans="1:15" ht="15">
      <c r="A119" s="30">
        <v>114</v>
      </c>
      <c r="B119" s="31" t="s">
        <v>501</v>
      </c>
      <c r="C119" s="31" t="s">
        <v>479</v>
      </c>
      <c r="D119" s="31" t="s">
        <v>475</v>
      </c>
      <c r="E119" s="31" t="s">
        <v>473</v>
      </c>
      <c r="F119" s="31" t="s">
        <v>485</v>
      </c>
      <c r="G119" s="32" t="s">
        <v>48</v>
      </c>
      <c r="H119" s="32" t="s">
        <v>49</v>
      </c>
      <c r="I119" s="32" t="s">
        <v>49</v>
      </c>
      <c r="J119" s="31" t="str">
        <f t="shared" si="9"/>
        <v>VALID</v>
      </c>
      <c r="K119" s="45"/>
      <c r="L119" s="45"/>
      <c r="M119" s="31" t="str">
        <f t="shared" si="10"/>
        <v>B3</v>
      </c>
      <c r="N119" s="31" t="str">
        <f t="shared" si="11"/>
        <v>YES</v>
      </c>
      <c r="O119" s="33"/>
    </row>
    <row r="120" spans="1:15" ht="15">
      <c r="A120" s="30">
        <v>115</v>
      </c>
      <c r="B120" s="31" t="s">
        <v>501</v>
      </c>
      <c r="C120" s="31" t="s">
        <v>483</v>
      </c>
      <c r="D120" s="31" t="s">
        <v>472</v>
      </c>
      <c r="E120" s="31" t="s">
        <v>473</v>
      </c>
      <c r="F120" s="31" t="s">
        <v>487</v>
      </c>
      <c r="G120" s="32" t="s">
        <v>42</v>
      </c>
      <c r="H120" s="32" t="s">
        <v>44</v>
      </c>
      <c r="I120" s="32" t="s">
        <v>44</v>
      </c>
      <c r="J120" s="31" t="str">
        <f t="shared" si="9"/>
        <v>VALID</v>
      </c>
      <c r="K120" s="45"/>
      <c r="L120" s="45"/>
      <c r="M120" s="31" t="str">
        <f t="shared" si="10"/>
        <v>A1</v>
      </c>
      <c r="N120" s="31" t="str">
        <f t="shared" si="11"/>
        <v>YES</v>
      </c>
      <c r="O120" s="33"/>
    </row>
    <row r="121" spans="1:15" ht="15">
      <c r="A121" s="30">
        <v>116</v>
      </c>
      <c r="B121" s="31" t="s">
        <v>501</v>
      </c>
      <c r="C121" s="31" t="s">
        <v>483</v>
      </c>
      <c r="D121" s="31" t="s">
        <v>477</v>
      </c>
      <c r="E121" s="31" t="s">
        <v>473</v>
      </c>
      <c r="F121" s="31" t="s">
        <v>489</v>
      </c>
      <c r="G121" s="32" t="s">
        <v>47</v>
      </c>
      <c r="H121" s="32" t="s">
        <v>49</v>
      </c>
      <c r="I121" s="32" t="s">
        <v>49</v>
      </c>
      <c r="J121" s="31" t="str">
        <f t="shared" si="9"/>
        <v>VALID</v>
      </c>
      <c r="K121" s="45"/>
      <c r="L121" s="45"/>
      <c r="M121" s="31" t="str">
        <f t="shared" si="10"/>
        <v>B2</v>
      </c>
      <c r="N121" s="31" t="str">
        <f t="shared" si="11"/>
        <v>YES</v>
      </c>
      <c r="O121" s="33"/>
    </row>
    <row r="122" spans="1:15" ht="15">
      <c r="A122" s="30">
        <v>117</v>
      </c>
      <c r="B122" s="31" t="s">
        <v>501</v>
      </c>
      <c r="C122" s="31" t="s">
        <v>486</v>
      </c>
      <c r="D122" s="31" t="s">
        <v>475</v>
      </c>
      <c r="E122" s="31" t="s">
        <v>473</v>
      </c>
      <c r="F122" s="31" t="s">
        <v>474</v>
      </c>
      <c r="G122" s="32" t="s">
        <v>42</v>
      </c>
      <c r="H122" s="32" t="s">
        <v>43</v>
      </c>
      <c r="I122" s="32" t="s">
        <v>43</v>
      </c>
      <c r="J122" s="31" t="str">
        <f t="shared" si="9"/>
        <v>VALID</v>
      </c>
      <c r="K122" s="45"/>
      <c r="L122" s="45"/>
      <c r="M122" s="31" t="str">
        <f t="shared" si="10"/>
        <v>A1</v>
      </c>
      <c r="N122" s="31" t="str">
        <f t="shared" si="11"/>
        <v>YES</v>
      </c>
      <c r="O122" s="33"/>
    </row>
    <row r="123" spans="1:15" ht="15">
      <c r="A123" s="30">
        <v>118</v>
      </c>
      <c r="B123" s="31" t="s">
        <v>501</v>
      </c>
      <c r="C123" s="31" t="s">
        <v>486</v>
      </c>
      <c r="D123" s="31" t="s">
        <v>477</v>
      </c>
      <c r="E123" s="31" t="s">
        <v>473</v>
      </c>
      <c r="F123" s="31" t="s">
        <v>476</v>
      </c>
      <c r="G123" s="32" t="s">
        <v>44</v>
      </c>
      <c r="H123" s="32" t="s">
        <v>45</v>
      </c>
      <c r="I123" s="32" t="s">
        <v>45</v>
      </c>
      <c r="J123" s="31" t="str">
        <f t="shared" si="9"/>
        <v>VALID</v>
      </c>
      <c r="K123" s="45"/>
      <c r="L123" s="45"/>
      <c r="M123" s="31" t="str">
        <f t="shared" si="10"/>
        <v>A3</v>
      </c>
      <c r="N123" s="31" t="str">
        <f t="shared" si="11"/>
        <v>YES</v>
      </c>
      <c r="O123" s="33"/>
    </row>
    <row r="124" spans="1:15" ht="15">
      <c r="A124" s="30">
        <v>119</v>
      </c>
      <c r="B124" s="31" t="s">
        <v>501</v>
      </c>
      <c r="C124" s="31" t="s">
        <v>486</v>
      </c>
      <c r="D124" s="31" t="s">
        <v>472</v>
      </c>
      <c r="E124" s="31" t="s">
        <v>473</v>
      </c>
      <c r="F124" s="31" t="s">
        <v>492</v>
      </c>
      <c r="G124" s="32" t="s">
        <v>46</v>
      </c>
      <c r="H124" s="32" t="s">
        <v>48</v>
      </c>
      <c r="I124" s="32" t="s">
        <v>48</v>
      </c>
      <c r="J124" s="31" t="str">
        <f t="shared" si="9"/>
        <v>VALID</v>
      </c>
      <c r="K124" s="45"/>
      <c r="L124" s="45"/>
      <c r="M124" s="31" t="str">
        <f t="shared" si="10"/>
        <v>B1</v>
      </c>
      <c r="N124" s="31" t="str">
        <f t="shared" si="11"/>
        <v>YES</v>
      </c>
      <c r="O124" s="33"/>
    </row>
    <row r="125" spans="1:15" ht="15">
      <c r="A125" s="30">
        <v>120</v>
      </c>
      <c r="B125" s="31" t="s">
        <v>501</v>
      </c>
      <c r="C125" s="31" t="s">
        <v>490</v>
      </c>
      <c r="D125" s="31" t="s">
        <v>491</v>
      </c>
      <c r="E125" s="31" t="s">
        <v>473</v>
      </c>
      <c r="F125" s="31" t="s">
        <v>478</v>
      </c>
      <c r="G125" s="32" t="s">
        <v>46</v>
      </c>
      <c r="H125" s="32" t="s">
        <v>49</v>
      </c>
      <c r="I125" s="32" t="s">
        <v>49</v>
      </c>
      <c r="J125" s="31" t="str">
        <f t="shared" si="9"/>
        <v>VALID</v>
      </c>
      <c r="K125" s="45"/>
      <c r="L125" s="45"/>
      <c r="M125" s="31" t="str">
        <f t="shared" si="10"/>
        <v>B1</v>
      </c>
      <c r="N125" s="31" t="str">
        <f t="shared" si="11"/>
        <v>YES</v>
      </c>
      <c r="O125" s="33"/>
    </row>
    <row r="126" spans="1:15" ht="15">
      <c r="A126" s="30">
        <v>121</v>
      </c>
      <c r="B126" s="31" t="s">
        <v>502</v>
      </c>
      <c r="C126" s="31" t="s">
        <v>471</v>
      </c>
      <c r="D126" s="31" t="s">
        <v>477</v>
      </c>
      <c r="E126" s="31" t="s">
        <v>473</v>
      </c>
      <c r="F126" s="31" t="s">
        <v>480</v>
      </c>
      <c r="G126" s="32" t="s">
        <v>42</v>
      </c>
      <c r="H126" s="32" t="s">
        <v>45</v>
      </c>
      <c r="I126" s="32" t="s">
        <v>45</v>
      </c>
      <c r="J126" s="31" t="str">
        <f t="shared" si="9"/>
        <v>VALID</v>
      </c>
      <c r="K126" s="45"/>
      <c r="L126" s="45"/>
      <c r="M126" s="31" t="str">
        <f t="shared" si="10"/>
        <v>A1</v>
      </c>
      <c r="N126" s="31" t="str">
        <f t="shared" si="11"/>
        <v>YES</v>
      </c>
      <c r="O126" s="33"/>
    </row>
    <row r="127" spans="1:15" ht="15">
      <c r="A127" s="30">
        <v>122</v>
      </c>
      <c r="B127" s="31" t="s">
        <v>502</v>
      </c>
      <c r="C127" s="31" t="s">
        <v>471</v>
      </c>
      <c r="D127" s="31" t="s">
        <v>472</v>
      </c>
      <c r="E127" s="31" t="s">
        <v>473</v>
      </c>
      <c r="F127" s="31" t="s">
        <v>478</v>
      </c>
      <c r="G127" s="32" t="s">
        <v>46</v>
      </c>
      <c r="H127" s="32" t="s">
        <v>49</v>
      </c>
      <c r="I127" s="32" t="s">
        <v>49</v>
      </c>
      <c r="J127" s="31" t="str">
        <f t="shared" si="9"/>
        <v>VALID</v>
      </c>
      <c r="K127" s="45"/>
      <c r="L127" s="45"/>
      <c r="M127" s="31" t="str">
        <f t="shared" si="10"/>
        <v>B1</v>
      </c>
      <c r="N127" s="31" t="str">
        <f t="shared" si="11"/>
        <v>YES</v>
      </c>
      <c r="O127" s="33"/>
    </row>
    <row r="128" spans="1:15" ht="15">
      <c r="A128" s="30">
        <v>123</v>
      </c>
      <c r="B128" s="31" t="s">
        <v>502</v>
      </c>
      <c r="C128" s="31" t="s">
        <v>471</v>
      </c>
      <c r="D128" s="31" t="s">
        <v>475</v>
      </c>
      <c r="E128" s="31" t="s">
        <v>473</v>
      </c>
      <c r="F128" s="31" t="s">
        <v>482</v>
      </c>
      <c r="G128" s="32" t="s">
        <v>47</v>
      </c>
      <c r="H128" s="32" t="s">
        <v>48</v>
      </c>
      <c r="I128" s="32" t="s">
        <v>48</v>
      </c>
      <c r="J128" s="31" t="str">
        <f t="shared" si="9"/>
        <v>VALID</v>
      </c>
      <c r="K128" s="45"/>
      <c r="L128" s="45"/>
      <c r="M128" s="31" t="str">
        <f t="shared" si="10"/>
        <v>B2</v>
      </c>
      <c r="N128" s="31" t="str">
        <f t="shared" si="11"/>
        <v>YES</v>
      </c>
      <c r="O128" s="33"/>
    </row>
    <row r="129" spans="1:15" ht="15">
      <c r="A129" s="30">
        <v>124</v>
      </c>
      <c r="B129" s="31" t="s">
        <v>502</v>
      </c>
      <c r="C129" s="31" t="s">
        <v>479</v>
      </c>
      <c r="D129" s="31" t="s">
        <v>472</v>
      </c>
      <c r="E129" s="31" t="s">
        <v>473</v>
      </c>
      <c r="F129" s="31" t="s">
        <v>481</v>
      </c>
      <c r="G129" s="32" t="s">
        <v>43</v>
      </c>
      <c r="H129" s="32" t="s">
        <v>44</v>
      </c>
      <c r="I129" s="32" t="s">
        <v>44</v>
      </c>
      <c r="J129" s="31" t="str">
        <f t="shared" si="9"/>
        <v>VALID</v>
      </c>
      <c r="K129" s="45"/>
      <c r="L129" s="45"/>
      <c r="M129" s="31" t="str">
        <f t="shared" si="10"/>
        <v>A2</v>
      </c>
      <c r="N129" s="31" t="str">
        <f t="shared" si="11"/>
        <v>YES</v>
      </c>
      <c r="O129" s="33"/>
    </row>
    <row r="130" spans="1:15" ht="15">
      <c r="A130" s="30">
        <v>125</v>
      </c>
      <c r="B130" s="31" t="s">
        <v>502</v>
      </c>
      <c r="C130" s="31" t="s">
        <v>479</v>
      </c>
      <c r="D130" s="31" t="s">
        <v>475</v>
      </c>
      <c r="E130" s="31" t="s">
        <v>473</v>
      </c>
      <c r="F130" s="31" t="s">
        <v>484</v>
      </c>
      <c r="G130" s="32" t="s">
        <v>46</v>
      </c>
      <c r="H130" s="32" t="s">
        <v>47</v>
      </c>
      <c r="I130" s="32" t="s">
        <v>47</v>
      </c>
      <c r="J130" s="31" t="str">
        <f t="shared" si="9"/>
        <v>VALID</v>
      </c>
      <c r="K130" s="45"/>
      <c r="L130" s="45"/>
      <c r="M130" s="31" t="str">
        <f t="shared" si="10"/>
        <v>B1</v>
      </c>
      <c r="N130" s="31" t="str">
        <f t="shared" si="11"/>
        <v>YES</v>
      </c>
      <c r="O130" s="33"/>
    </row>
    <row r="131" spans="1:15" ht="15">
      <c r="A131" s="30">
        <v>126</v>
      </c>
      <c r="B131" s="31" t="s">
        <v>502</v>
      </c>
      <c r="C131" s="31" t="s">
        <v>479</v>
      </c>
      <c r="D131" s="31" t="s">
        <v>477</v>
      </c>
      <c r="E131" s="31" t="s">
        <v>473</v>
      </c>
      <c r="F131" s="31" t="s">
        <v>485</v>
      </c>
      <c r="G131" s="32" t="s">
        <v>48</v>
      </c>
      <c r="H131" s="32" t="s">
        <v>49</v>
      </c>
      <c r="I131" s="32" t="s">
        <v>49</v>
      </c>
      <c r="J131" s="31" t="str">
        <f t="shared" si="9"/>
        <v>VALID</v>
      </c>
      <c r="K131" s="45"/>
      <c r="L131" s="45"/>
      <c r="M131" s="31" t="str">
        <f t="shared" si="10"/>
        <v>B3</v>
      </c>
      <c r="N131" s="31" t="str">
        <f t="shared" si="11"/>
        <v>YES</v>
      </c>
      <c r="O131" s="33"/>
    </row>
    <row r="132" spans="1:15" ht="15">
      <c r="A132" s="30">
        <v>127</v>
      </c>
      <c r="B132" s="31" t="s">
        <v>502</v>
      </c>
      <c r="C132" s="31" t="s">
        <v>483</v>
      </c>
      <c r="D132" s="31" t="s">
        <v>477</v>
      </c>
      <c r="E132" s="31" t="s">
        <v>473</v>
      </c>
      <c r="F132" s="31" t="s">
        <v>487</v>
      </c>
      <c r="G132" s="32" t="s">
        <v>42</v>
      </c>
      <c r="H132" s="32" t="s">
        <v>44</v>
      </c>
      <c r="I132" s="32" t="s">
        <v>44</v>
      </c>
      <c r="J132" s="31" t="str">
        <f t="shared" si="9"/>
        <v>VALID</v>
      </c>
      <c r="K132" s="45"/>
      <c r="L132" s="45"/>
      <c r="M132" s="31" t="str">
        <f t="shared" si="10"/>
        <v>A1</v>
      </c>
      <c r="N132" s="31" t="str">
        <f t="shared" si="11"/>
        <v>YES</v>
      </c>
      <c r="O132" s="33"/>
    </row>
    <row r="133" spans="1:15" ht="15">
      <c r="A133" s="30">
        <v>128</v>
      </c>
      <c r="B133" s="31" t="s">
        <v>502</v>
      </c>
      <c r="C133" s="31" t="s">
        <v>483</v>
      </c>
      <c r="D133" s="31" t="s">
        <v>472</v>
      </c>
      <c r="E133" s="31" t="s">
        <v>473</v>
      </c>
      <c r="F133" s="31" t="s">
        <v>488</v>
      </c>
      <c r="G133" s="32" t="s">
        <v>43</v>
      </c>
      <c r="H133" s="32" t="s">
        <v>45</v>
      </c>
      <c r="I133" s="32" t="s">
        <v>45</v>
      </c>
      <c r="J133" s="31" t="str">
        <f t="shared" si="9"/>
        <v>VALID</v>
      </c>
      <c r="K133" s="45"/>
      <c r="L133" s="45"/>
      <c r="M133" s="31" t="str">
        <f t="shared" si="10"/>
        <v>A2</v>
      </c>
      <c r="N133" s="31" t="str">
        <f t="shared" si="11"/>
        <v>YES</v>
      </c>
      <c r="O133" s="33"/>
    </row>
    <row r="134" spans="1:15" ht="15">
      <c r="A134" s="30">
        <v>129</v>
      </c>
      <c r="B134" s="31" t="s">
        <v>502</v>
      </c>
      <c r="C134" s="31" t="s">
        <v>486</v>
      </c>
      <c r="D134" s="31" t="s">
        <v>477</v>
      </c>
      <c r="E134" s="31" t="s">
        <v>473</v>
      </c>
      <c r="F134" s="31" t="s">
        <v>474</v>
      </c>
      <c r="G134" s="32" t="s">
        <v>42</v>
      </c>
      <c r="H134" s="32" t="s">
        <v>43</v>
      </c>
      <c r="I134" s="32" t="s">
        <v>43</v>
      </c>
      <c r="J134" s="31" t="str">
        <f t="shared" ref="J134:J165" si="12">IF(I134="","PENDING",IF(OR(I134=G134,I134=H134),"VALID","CHECK WINNER"))</f>
        <v>VALID</v>
      </c>
      <c r="K134" s="45"/>
      <c r="L134" s="45"/>
      <c r="M134" s="31" t="str">
        <f t="shared" ref="M134:M165" si="13">IF(J134="VALID",IF(I134=G134,H134,G134),"")</f>
        <v>A1</v>
      </c>
      <c r="N134" s="31" t="str">
        <f t="shared" ref="N134:N165" si="14">IF(J134="VALID","YES","NO")</f>
        <v>YES</v>
      </c>
      <c r="O134" s="33"/>
    </row>
    <row r="135" spans="1:15" ht="15">
      <c r="A135" s="30">
        <v>130</v>
      </c>
      <c r="B135" s="31" t="s">
        <v>502</v>
      </c>
      <c r="C135" s="31" t="s">
        <v>486</v>
      </c>
      <c r="D135" s="31" t="s">
        <v>475</v>
      </c>
      <c r="E135" s="31" t="s">
        <v>473</v>
      </c>
      <c r="F135" s="31" t="s">
        <v>492</v>
      </c>
      <c r="G135" s="32" t="s">
        <v>46</v>
      </c>
      <c r="H135" s="32" t="s">
        <v>48</v>
      </c>
      <c r="I135" s="32" t="s">
        <v>48</v>
      </c>
      <c r="J135" s="31" t="str">
        <f t="shared" si="12"/>
        <v>VALID</v>
      </c>
      <c r="K135" s="45"/>
      <c r="L135" s="45"/>
      <c r="M135" s="31" t="str">
        <f t="shared" si="13"/>
        <v>B1</v>
      </c>
      <c r="N135" s="31" t="str">
        <f t="shared" si="14"/>
        <v>YES</v>
      </c>
      <c r="O135" s="33"/>
    </row>
    <row r="136" spans="1:15" ht="15">
      <c r="A136" s="30">
        <v>131</v>
      </c>
      <c r="B136" s="31" t="s">
        <v>502</v>
      </c>
      <c r="C136" s="31" t="s">
        <v>486</v>
      </c>
      <c r="D136" s="31" t="s">
        <v>472</v>
      </c>
      <c r="E136" s="31" t="s">
        <v>473</v>
      </c>
      <c r="F136" s="31" t="s">
        <v>489</v>
      </c>
      <c r="G136" s="32" t="s">
        <v>47</v>
      </c>
      <c r="H136" s="32" t="s">
        <v>49</v>
      </c>
      <c r="I136" s="32" t="s">
        <v>49</v>
      </c>
      <c r="J136" s="31" t="str">
        <f t="shared" si="12"/>
        <v>VALID</v>
      </c>
      <c r="K136" s="45"/>
      <c r="L136" s="45"/>
      <c r="M136" s="31" t="str">
        <f t="shared" si="13"/>
        <v>B2</v>
      </c>
      <c r="N136" s="31" t="str">
        <f t="shared" si="14"/>
        <v>YES</v>
      </c>
      <c r="O136" s="33"/>
    </row>
    <row r="137" spans="1:15" ht="15">
      <c r="A137" s="30">
        <v>132</v>
      </c>
      <c r="B137" s="31" t="s">
        <v>502</v>
      </c>
      <c r="C137" s="31" t="s">
        <v>490</v>
      </c>
      <c r="D137" s="31" t="s">
        <v>491</v>
      </c>
      <c r="E137" s="31" t="s">
        <v>473</v>
      </c>
      <c r="F137" s="31" t="s">
        <v>476</v>
      </c>
      <c r="G137" s="32" t="s">
        <v>44</v>
      </c>
      <c r="H137" s="32" t="s">
        <v>45</v>
      </c>
      <c r="I137" s="32" t="s">
        <v>45</v>
      </c>
      <c r="J137" s="31" t="str">
        <f t="shared" si="12"/>
        <v>VALID</v>
      </c>
      <c r="K137" s="45"/>
      <c r="L137" s="45"/>
      <c r="M137" s="31" t="str">
        <f t="shared" si="13"/>
        <v>A3</v>
      </c>
      <c r="N137" s="31" t="str">
        <f t="shared" si="14"/>
        <v>YES</v>
      </c>
      <c r="O137" s="33"/>
    </row>
    <row r="138" spans="1:15" ht="15">
      <c r="A138" s="30">
        <v>133</v>
      </c>
      <c r="B138" s="31" t="s">
        <v>503</v>
      </c>
      <c r="C138" s="31" t="s">
        <v>471</v>
      </c>
      <c r="D138" s="31" t="s">
        <v>472</v>
      </c>
      <c r="E138" s="31" t="s">
        <v>473</v>
      </c>
      <c r="F138" s="31" t="s">
        <v>476</v>
      </c>
      <c r="G138" s="32" t="s">
        <v>44</v>
      </c>
      <c r="H138" s="32" t="s">
        <v>45</v>
      </c>
      <c r="I138" s="32" t="s">
        <v>45</v>
      </c>
      <c r="J138" s="31" t="str">
        <f t="shared" si="12"/>
        <v>VALID</v>
      </c>
      <c r="K138" s="45"/>
      <c r="L138" s="45"/>
      <c r="M138" s="31" t="str">
        <f t="shared" si="13"/>
        <v>A3</v>
      </c>
      <c r="N138" s="31" t="str">
        <f t="shared" si="14"/>
        <v>YES</v>
      </c>
      <c r="O138" s="33"/>
    </row>
    <row r="139" spans="1:15" ht="15">
      <c r="A139" s="30">
        <v>134</v>
      </c>
      <c r="B139" s="31" t="s">
        <v>503</v>
      </c>
      <c r="C139" s="31" t="s">
        <v>471</v>
      </c>
      <c r="D139" s="31" t="s">
        <v>475</v>
      </c>
      <c r="E139" s="31" t="s">
        <v>473</v>
      </c>
      <c r="F139" s="31" t="s">
        <v>478</v>
      </c>
      <c r="G139" s="32" t="s">
        <v>46</v>
      </c>
      <c r="H139" s="32" t="s">
        <v>49</v>
      </c>
      <c r="I139" s="32" t="s">
        <v>49</v>
      </c>
      <c r="J139" s="31" t="str">
        <f t="shared" si="12"/>
        <v>VALID</v>
      </c>
      <c r="K139" s="45"/>
      <c r="L139" s="45"/>
      <c r="M139" s="31" t="str">
        <f t="shared" si="13"/>
        <v>B1</v>
      </c>
      <c r="N139" s="31" t="str">
        <f t="shared" si="14"/>
        <v>YES</v>
      </c>
      <c r="O139" s="33"/>
    </row>
    <row r="140" spans="1:15" ht="15">
      <c r="A140" s="30">
        <v>135</v>
      </c>
      <c r="B140" s="31" t="s">
        <v>503</v>
      </c>
      <c r="C140" s="31" t="s">
        <v>471</v>
      </c>
      <c r="D140" s="31" t="s">
        <v>477</v>
      </c>
      <c r="E140" s="31" t="s">
        <v>473</v>
      </c>
      <c r="F140" s="31" t="s">
        <v>482</v>
      </c>
      <c r="G140" s="32" t="s">
        <v>47</v>
      </c>
      <c r="H140" s="32" t="s">
        <v>48</v>
      </c>
      <c r="I140" s="32" t="s">
        <v>48</v>
      </c>
      <c r="J140" s="31" t="str">
        <f t="shared" si="12"/>
        <v>VALID</v>
      </c>
      <c r="K140" s="45"/>
      <c r="L140" s="45"/>
      <c r="M140" s="31" t="str">
        <f t="shared" si="13"/>
        <v>B2</v>
      </c>
      <c r="N140" s="31" t="str">
        <f t="shared" si="14"/>
        <v>YES</v>
      </c>
      <c r="O140" s="33"/>
    </row>
    <row r="141" spans="1:15" ht="15">
      <c r="A141" s="30">
        <v>136</v>
      </c>
      <c r="B141" s="31" t="s">
        <v>503</v>
      </c>
      <c r="C141" s="31" t="s">
        <v>479</v>
      </c>
      <c r="D141" s="31" t="s">
        <v>472</v>
      </c>
      <c r="E141" s="31" t="s">
        <v>473</v>
      </c>
      <c r="F141" s="31" t="s">
        <v>480</v>
      </c>
      <c r="G141" s="32" t="s">
        <v>42</v>
      </c>
      <c r="H141" s="32" t="s">
        <v>45</v>
      </c>
      <c r="I141" s="32" t="s">
        <v>45</v>
      </c>
      <c r="J141" s="31" t="str">
        <f t="shared" si="12"/>
        <v>VALID</v>
      </c>
      <c r="K141" s="45"/>
      <c r="L141" s="45"/>
      <c r="M141" s="31" t="str">
        <f t="shared" si="13"/>
        <v>A1</v>
      </c>
      <c r="N141" s="31" t="str">
        <f t="shared" si="14"/>
        <v>YES</v>
      </c>
      <c r="O141" s="33"/>
    </row>
    <row r="142" spans="1:15" ht="15">
      <c r="A142" s="30">
        <v>137</v>
      </c>
      <c r="B142" s="31" t="s">
        <v>503</v>
      </c>
      <c r="C142" s="31" t="s">
        <v>479</v>
      </c>
      <c r="D142" s="31" t="s">
        <v>475</v>
      </c>
      <c r="E142" s="31" t="s">
        <v>473</v>
      </c>
      <c r="F142" s="31" t="s">
        <v>481</v>
      </c>
      <c r="G142" s="32" t="s">
        <v>43</v>
      </c>
      <c r="H142" s="32" t="s">
        <v>44</v>
      </c>
      <c r="I142" s="32" t="s">
        <v>44</v>
      </c>
      <c r="J142" s="31" t="str">
        <f t="shared" si="12"/>
        <v>VALID</v>
      </c>
      <c r="K142" s="45"/>
      <c r="L142" s="45"/>
      <c r="M142" s="31" t="str">
        <f t="shared" si="13"/>
        <v>A2</v>
      </c>
      <c r="N142" s="31" t="str">
        <f t="shared" si="14"/>
        <v>YES</v>
      </c>
      <c r="O142" s="33"/>
    </row>
    <row r="143" spans="1:15" ht="15">
      <c r="A143" s="30">
        <v>138</v>
      </c>
      <c r="B143" s="31" t="s">
        <v>503</v>
      </c>
      <c r="C143" s="31" t="s">
        <v>479</v>
      </c>
      <c r="D143" s="31" t="s">
        <v>477</v>
      </c>
      <c r="E143" s="31" t="s">
        <v>473</v>
      </c>
      <c r="F143" s="31" t="s">
        <v>484</v>
      </c>
      <c r="G143" s="32" t="s">
        <v>46</v>
      </c>
      <c r="H143" s="32" t="s">
        <v>47</v>
      </c>
      <c r="I143" s="32" t="s">
        <v>47</v>
      </c>
      <c r="J143" s="31" t="str">
        <f t="shared" si="12"/>
        <v>VALID</v>
      </c>
      <c r="K143" s="45"/>
      <c r="L143" s="45"/>
      <c r="M143" s="31" t="str">
        <f t="shared" si="13"/>
        <v>B1</v>
      </c>
      <c r="N143" s="31" t="str">
        <f t="shared" si="14"/>
        <v>YES</v>
      </c>
      <c r="O143" s="33"/>
    </row>
    <row r="144" spans="1:15" ht="15">
      <c r="A144" s="30">
        <v>139</v>
      </c>
      <c r="B144" s="31" t="s">
        <v>503</v>
      </c>
      <c r="C144" s="31" t="s">
        <v>483</v>
      </c>
      <c r="D144" s="31" t="s">
        <v>477</v>
      </c>
      <c r="E144" s="31" t="s">
        <v>473</v>
      </c>
      <c r="F144" s="31" t="s">
        <v>488</v>
      </c>
      <c r="G144" s="32" t="s">
        <v>43</v>
      </c>
      <c r="H144" s="32" t="s">
        <v>45</v>
      </c>
      <c r="I144" s="32" t="s">
        <v>45</v>
      </c>
      <c r="J144" s="31" t="str">
        <f t="shared" si="12"/>
        <v>VALID</v>
      </c>
      <c r="K144" s="45"/>
      <c r="L144" s="45"/>
      <c r="M144" s="31" t="str">
        <f t="shared" si="13"/>
        <v>A2</v>
      </c>
      <c r="N144" s="31" t="str">
        <f t="shared" si="14"/>
        <v>YES</v>
      </c>
      <c r="O144" s="33"/>
    </row>
    <row r="145" spans="1:15" ht="15">
      <c r="A145" s="30">
        <v>140</v>
      </c>
      <c r="B145" s="31" t="s">
        <v>503</v>
      </c>
      <c r="C145" s="31" t="s">
        <v>483</v>
      </c>
      <c r="D145" s="31" t="s">
        <v>472</v>
      </c>
      <c r="E145" s="31" t="s">
        <v>473</v>
      </c>
      <c r="F145" s="31" t="s">
        <v>485</v>
      </c>
      <c r="G145" s="32" t="s">
        <v>48</v>
      </c>
      <c r="H145" s="32" t="s">
        <v>49</v>
      </c>
      <c r="I145" s="32" t="s">
        <v>49</v>
      </c>
      <c r="J145" s="31" t="str">
        <f t="shared" si="12"/>
        <v>VALID</v>
      </c>
      <c r="K145" s="45"/>
      <c r="L145" s="45"/>
      <c r="M145" s="31" t="str">
        <f t="shared" si="13"/>
        <v>B3</v>
      </c>
      <c r="N145" s="31" t="str">
        <f t="shared" si="14"/>
        <v>YES</v>
      </c>
      <c r="O145" s="33"/>
    </row>
    <row r="146" spans="1:15" ht="15">
      <c r="A146" s="30">
        <v>141</v>
      </c>
      <c r="B146" s="31" t="s">
        <v>503</v>
      </c>
      <c r="C146" s="31" t="s">
        <v>486</v>
      </c>
      <c r="D146" s="31" t="s">
        <v>472</v>
      </c>
      <c r="E146" s="31" t="s">
        <v>473</v>
      </c>
      <c r="F146" s="31" t="s">
        <v>487</v>
      </c>
      <c r="G146" s="32" t="s">
        <v>42</v>
      </c>
      <c r="H146" s="32" t="s">
        <v>44</v>
      </c>
      <c r="I146" s="32" t="s">
        <v>42</v>
      </c>
      <c r="J146" s="31" t="str">
        <f t="shared" si="12"/>
        <v>VALID</v>
      </c>
      <c r="K146" s="45"/>
      <c r="L146" s="45"/>
      <c r="M146" s="31" t="str">
        <f t="shared" si="13"/>
        <v>A3</v>
      </c>
      <c r="N146" s="31" t="str">
        <f t="shared" si="14"/>
        <v>YES</v>
      </c>
      <c r="O146" s="33"/>
    </row>
    <row r="147" spans="1:15" ht="15">
      <c r="A147" s="30">
        <v>142</v>
      </c>
      <c r="B147" s="31" t="s">
        <v>503</v>
      </c>
      <c r="C147" s="31" t="s">
        <v>486</v>
      </c>
      <c r="D147" s="31" t="s">
        <v>477</v>
      </c>
      <c r="E147" s="31" t="s">
        <v>473</v>
      </c>
      <c r="F147" s="31" t="s">
        <v>492</v>
      </c>
      <c r="G147" s="32" t="s">
        <v>46</v>
      </c>
      <c r="H147" s="32" t="s">
        <v>48</v>
      </c>
      <c r="I147" s="32" t="s">
        <v>48</v>
      </c>
      <c r="J147" s="31" t="str">
        <f t="shared" si="12"/>
        <v>VALID</v>
      </c>
      <c r="K147" s="45"/>
      <c r="L147" s="45"/>
      <c r="M147" s="31" t="str">
        <f t="shared" si="13"/>
        <v>B1</v>
      </c>
      <c r="N147" s="31" t="str">
        <f t="shared" si="14"/>
        <v>YES</v>
      </c>
      <c r="O147" s="33"/>
    </row>
    <row r="148" spans="1:15" ht="15">
      <c r="A148" s="30">
        <v>143</v>
      </c>
      <c r="B148" s="31" t="s">
        <v>503</v>
      </c>
      <c r="C148" s="31" t="s">
        <v>486</v>
      </c>
      <c r="D148" s="31" t="s">
        <v>475</v>
      </c>
      <c r="E148" s="31" t="s">
        <v>473</v>
      </c>
      <c r="F148" s="31" t="s">
        <v>489</v>
      </c>
      <c r="G148" s="32" t="s">
        <v>47</v>
      </c>
      <c r="H148" s="32" t="s">
        <v>49</v>
      </c>
      <c r="I148" s="32" t="s">
        <v>49</v>
      </c>
      <c r="J148" s="31" t="str">
        <f t="shared" si="12"/>
        <v>VALID</v>
      </c>
      <c r="K148" s="45"/>
      <c r="L148" s="45"/>
      <c r="M148" s="31" t="str">
        <f t="shared" si="13"/>
        <v>B2</v>
      </c>
      <c r="N148" s="31" t="str">
        <f t="shared" si="14"/>
        <v>YES</v>
      </c>
      <c r="O148" s="33"/>
    </row>
    <row r="149" spans="1:15" ht="15">
      <c r="A149" s="30">
        <v>144</v>
      </c>
      <c r="B149" s="31" t="s">
        <v>503</v>
      </c>
      <c r="C149" s="31" t="s">
        <v>490</v>
      </c>
      <c r="D149" s="31" t="s">
        <v>491</v>
      </c>
      <c r="E149" s="31" t="s">
        <v>473</v>
      </c>
      <c r="F149" s="31" t="s">
        <v>474</v>
      </c>
      <c r="G149" s="32" t="s">
        <v>42</v>
      </c>
      <c r="H149" s="32" t="s">
        <v>43</v>
      </c>
      <c r="I149" s="32" t="s">
        <v>43</v>
      </c>
      <c r="J149" s="31" t="str">
        <f t="shared" si="12"/>
        <v>VALID</v>
      </c>
      <c r="K149" s="45"/>
      <c r="L149" s="45"/>
      <c r="M149" s="31" t="str">
        <f t="shared" si="13"/>
        <v>A1</v>
      </c>
      <c r="N149" s="31" t="str">
        <f t="shared" si="14"/>
        <v>YES</v>
      </c>
      <c r="O149" s="33"/>
    </row>
    <row r="150" spans="1:15" ht="15">
      <c r="A150" s="57">
        <v>145</v>
      </c>
      <c r="B150" s="58" t="s">
        <v>538</v>
      </c>
      <c r="C150" s="58" t="s">
        <v>486</v>
      </c>
      <c r="D150" s="58" t="s">
        <v>472</v>
      </c>
      <c r="E150" s="58" t="s">
        <v>539</v>
      </c>
      <c r="F150" s="58" t="s">
        <v>540</v>
      </c>
      <c r="G150" s="65" t="str">
        <f>Qualifiers!$C$6</f>
        <v>A1</v>
      </c>
      <c r="H150" s="65" t="str">
        <f>Qualifiers!$F$6</f>
        <v>B3</v>
      </c>
      <c r="I150" s="65" t="s">
        <v>42</v>
      </c>
      <c r="J150" s="58" t="str">
        <f t="shared" si="12"/>
        <v>VALID</v>
      </c>
      <c r="K150" s="59">
        <v>30</v>
      </c>
      <c r="L150" s="59">
        <v>0</v>
      </c>
      <c r="M150" s="58" t="str">
        <f t="shared" si="13"/>
        <v>B3</v>
      </c>
      <c r="N150" s="58" t="str">
        <f t="shared" si="14"/>
        <v>YES</v>
      </c>
      <c r="O150" s="60" t="s">
        <v>541</v>
      </c>
    </row>
    <row r="151" spans="1:15" ht="15">
      <c r="A151" s="57">
        <v>146</v>
      </c>
      <c r="B151" s="58" t="s">
        <v>538</v>
      </c>
      <c r="C151" s="58" t="s">
        <v>486</v>
      </c>
      <c r="D151" s="58" t="s">
        <v>475</v>
      </c>
      <c r="E151" s="58" t="s">
        <v>539</v>
      </c>
      <c r="F151" s="58" t="s">
        <v>540</v>
      </c>
      <c r="G151" s="65" t="str">
        <f>Qualifiers!$C$7</f>
        <v>A4</v>
      </c>
      <c r="H151" s="65" t="str">
        <f>Qualifiers!$F$7</f>
        <v>B3</v>
      </c>
      <c r="I151" s="65" t="str">
        <f>Qualifiers!$F$7</f>
        <v>B3</v>
      </c>
      <c r="J151" s="58" t="str">
        <f t="shared" si="12"/>
        <v>VALID</v>
      </c>
      <c r="K151" s="59"/>
      <c r="L151" s="59"/>
      <c r="M151" s="58" t="str">
        <f t="shared" si="13"/>
        <v>A4</v>
      </c>
      <c r="N151" s="58" t="str">
        <f t="shared" si="14"/>
        <v>YES</v>
      </c>
      <c r="O151" s="60" t="s">
        <v>541</v>
      </c>
    </row>
    <row r="152" spans="1:15" ht="15">
      <c r="A152" s="57">
        <v>147</v>
      </c>
      <c r="B152" s="58" t="s">
        <v>538</v>
      </c>
      <c r="C152" s="58" t="s">
        <v>486</v>
      </c>
      <c r="D152" s="58" t="s">
        <v>477</v>
      </c>
      <c r="E152" s="58" t="s">
        <v>539</v>
      </c>
      <c r="F152" s="58" t="s">
        <v>540</v>
      </c>
      <c r="G152" s="65" t="str">
        <f>Qualifiers!$C$8</f>
        <v>A4</v>
      </c>
      <c r="H152" s="65" t="str">
        <f>Qualifiers!$F$8</f>
        <v>B3</v>
      </c>
      <c r="I152" s="65" t="str">
        <f>Qualifiers!$F$8</f>
        <v>B3</v>
      </c>
      <c r="J152" s="58" t="str">
        <f t="shared" si="12"/>
        <v>VALID</v>
      </c>
      <c r="K152" s="59"/>
      <c r="L152" s="59"/>
      <c r="M152" s="58" t="str">
        <f t="shared" si="13"/>
        <v>A4</v>
      </c>
      <c r="N152" s="58" t="str">
        <f t="shared" si="14"/>
        <v>YES</v>
      </c>
      <c r="O152" s="60" t="s">
        <v>541</v>
      </c>
    </row>
    <row r="153" spans="1:15" ht="15">
      <c r="A153" s="57">
        <v>148</v>
      </c>
      <c r="B153" s="58" t="s">
        <v>538</v>
      </c>
      <c r="C153" s="58" t="s">
        <v>483</v>
      </c>
      <c r="D153" s="58" t="s">
        <v>472</v>
      </c>
      <c r="E153" s="58" t="s">
        <v>539</v>
      </c>
      <c r="F153" s="58" t="s">
        <v>540</v>
      </c>
      <c r="G153" s="65" t="str">
        <f>Qualifiers!$C$9</f>
        <v>A4</v>
      </c>
      <c r="H153" s="65" t="str">
        <f>Qualifiers!$F$9</f>
        <v>B3</v>
      </c>
      <c r="I153" s="65" t="str">
        <f>Qualifiers!$F$9</f>
        <v>B3</v>
      </c>
      <c r="J153" s="58" t="str">
        <f t="shared" si="12"/>
        <v>VALID</v>
      </c>
      <c r="K153" s="59"/>
      <c r="L153" s="59"/>
      <c r="M153" s="58" t="str">
        <f t="shared" si="13"/>
        <v>A4</v>
      </c>
      <c r="N153" s="58" t="str">
        <f t="shared" si="14"/>
        <v>YES</v>
      </c>
      <c r="O153" s="60" t="s">
        <v>541</v>
      </c>
    </row>
    <row r="154" spans="1:15" ht="15">
      <c r="A154" s="57">
        <v>149</v>
      </c>
      <c r="B154" s="58" t="s">
        <v>538</v>
      </c>
      <c r="C154" s="58" t="s">
        <v>483</v>
      </c>
      <c r="D154" s="58" t="s">
        <v>477</v>
      </c>
      <c r="E154" s="58" t="s">
        <v>539</v>
      </c>
      <c r="F154" s="58" t="s">
        <v>540</v>
      </c>
      <c r="G154" s="65" t="str">
        <f>Qualifiers!$C$10</f>
        <v>A4</v>
      </c>
      <c r="H154" s="65" t="str">
        <f>Qualifiers!$F$10</f>
        <v>B3</v>
      </c>
      <c r="I154" s="65" t="str">
        <f>Qualifiers!$F$10</f>
        <v>B3</v>
      </c>
      <c r="J154" s="58" t="str">
        <f t="shared" si="12"/>
        <v>VALID</v>
      </c>
      <c r="K154" s="59"/>
      <c r="L154" s="59"/>
      <c r="M154" s="58" t="str">
        <f t="shared" si="13"/>
        <v>A4</v>
      </c>
      <c r="N154" s="58" t="str">
        <f t="shared" si="14"/>
        <v>YES</v>
      </c>
      <c r="O154" s="60" t="s">
        <v>541</v>
      </c>
    </row>
    <row r="155" spans="1:15" ht="15">
      <c r="A155" s="57">
        <v>150</v>
      </c>
      <c r="B155" s="58" t="s">
        <v>542</v>
      </c>
      <c r="C155" s="58" t="s">
        <v>486</v>
      </c>
      <c r="D155" s="58" t="s">
        <v>472</v>
      </c>
      <c r="E155" s="58" t="s">
        <v>543</v>
      </c>
      <c r="F155" s="58" t="s">
        <v>544</v>
      </c>
      <c r="G155" s="65" t="str">
        <f>Qualifiers!$D$6</f>
        <v>A4</v>
      </c>
      <c r="H155" s="65" t="str">
        <f>Qualifiers!$E$6</f>
        <v>B4</v>
      </c>
      <c r="I155" s="65" t="str">
        <f>Qualifiers!$E$6</f>
        <v>B4</v>
      </c>
      <c r="J155" s="58" t="str">
        <f t="shared" si="12"/>
        <v>VALID</v>
      </c>
      <c r="K155" s="59"/>
      <c r="L155" s="59"/>
      <c r="M155" s="58" t="str">
        <f t="shared" si="13"/>
        <v>A4</v>
      </c>
      <c r="N155" s="58" t="str">
        <f t="shared" si="14"/>
        <v>YES</v>
      </c>
      <c r="O155" s="60" t="s">
        <v>541</v>
      </c>
    </row>
    <row r="156" spans="1:15" ht="15">
      <c r="A156" s="57">
        <v>151</v>
      </c>
      <c r="B156" s="58" t="s">
        <v>542</v>
      </c>
      <c r="C156" s="58" t="s">
        <v>486</v>
      </c>
      <c r="D156" s="58" t="s">
        <v>475</v>
      </c>
      <c r="E156" s="58" t="s">
        <v>543</v>
      </c>
      <c r="F156" s="58" t="s">
        <v>544</v>
      </c>
      <c r="G156" s="65" t="str">
        <f>Qualifiers!$D$7</f>
        <v>A3</v>
      </c>
      <c r="H156" s="65" t="str">
        <f>Qualifiers!$E$7</f>
        <v>B4</v>
      </c>
      <c r="I156" s="65" t="str">
        <f>Qualifiers!$E$7</f>
        <v>B4</v>
      </c>
      <c r="J156" s="58" t="str">
        <f t="shared" si="12"/>
        <v>VALID</v>
      </c>
      <c r="K156" s="59"/>
      <c r="L156" s="59"/>
      <c r="M156" s="58" t="str">
        <f t="shared" si="13"/>
        <v>A3</v>
      </c>
      <c r="N156" s="58" t="str">
        <f t="shared" si="14"/>
        <v>YES</v>
      </c>
      <c r="O156" s="60" t="s">
        <v>541</v>
      </c>
    </row>
    <row r="157" spans="1:15" ht="15">
      <c r="A157" s="57">
        <v>152</v>
      </c>
      <c r="B157" s="58" t="s">
        <v>542</v>
      </c>
      <c r="C157" s="58" t="s">
        <v>486</v>
      </c>
      <c r="D157" s="58" t="s">
        <v>477</v>
      </c>
      <c r="E157" s="58" t="s">
        <v>543</v>
      </c>
      <c r="F157" s="58" t="s">
        <v>544</v>
      </c>
      <c r="G157" s="65" t="str">
        <f>Qualifiers!$D$8</f>
        <v>A3</v>
      </c>
      <c r="H157" s="65" t="str">
        <f>Qualifiers!$E$8</f>
        <v>B4</v>
      </c>
      <c r="I157" s="65" t="str">
        <f>Qualifiers!$E$8</f>
        <v>B4</v>
      </c>
      <c r="J157" s="58" t="str">
        <f t="shared" si="12"/>
        <v>VALID</v>
      </c>
      <c r="K157" s="59"/>
      <c r="L157" s="59"/>
      <c r="M157" s="58" t="str">
        <f t="shared" si="13"/>
        <v>A3</v>
      </c>
      <c r="N157" s="58" t="str">
        <f t="shared" si="14"/>
        <v>YES</v>
      </c>
      <c r="O157" s="60" t="s">
        <v>541</v>
      </c>
    </row>
    <row r="158" spans="1:15" ht="15">
      <c r="A158" s="57">
        <v>153</v>
      </c>
      <c r="B158" s="58" t="s">
        <v>542</v>
      </c>
      <c r="C158" s="58" t="s">
        <v>483</v>
      </c>
      <c r="D158" s="58" t="s">
        <v>472</v>
      </c>
      <c r="E158" s="58" t="s">
        <v>543</v>
      </c>
      <c r="F158" s="58" t="s">
        <v>544</v>
      </c>
      <c r="G158" s="65" t="str">
        <f>Qualifiers!$D$9</f>
        <v>A3</v>
      </c>
      <c r="H158" s="65" t="str">
        <f>Qualifiers!$E$9</f>
        <v>B4</v>
      </c>
      <c r="I158" s="65" t="str">
        <f>Qualifiers!$E$9</f>
        <v>B4</v>
      </c>
      <c r="J158" s="58" t="str">
        <f t="shared" si="12"/>
        <v>VALID</v>
      </c>
      <c r="K158" s="59"/>
      <c r="L158" s="59"/>
      <c r="M158" s="58" t="str">
        <f t="shared" si="13"/>
        <v>A3</v>
      </c>
      <c r="N158" s="58" t="str">
        <f t="shared" si="14"/>
        <v>YES</v>
      </c>
      <c r="O158" s="60" t="s">
        <v>541</v>
      </c>
    </row>
    <row r="159" spans="1:15" ht="15">
      <c r="A159" s="57">
        <v>154</v>
      </c>
      <c r="B159" s="58" t="s">
        <v>542</v>
      </c>
      <c r="C159" s="58" t="s">
        <v>483</v>
      </c>
      <c r="D159" s="58" t="s">
        <v>477</v>
      </c>
      <c r="E159" s="58" t="s">
        <v>543</v>
      </c>
      <c r="F159" s="58" t="s">
        <v>544</v>
      </c>
      <c r="G159" s="65" t="str">
        <f>Qualifiers!$D$10</f>
        <v>A3</v>
      </c>
      <c r="H159" s="65" t="str">
        <f>Qualifiers!$E$10</f>
        <v>B4</v>
      </c>
      <c r="I159" s="65" t="str">
        <f>Qualifiers!$E$10</f>
        <v>B4</v>
      </c>
      <c r="J159" s="58" t="str">
        <f t="shared" si="12"/>
        <v>VALID</v>
      </c>
      <c r="K159" s="59"/>
      <c r="L159" s="59"/>
      <c r="M159" s="58" t="str">
        <f t="shared" si="13"/>
        <v>A3</v>
      </c>
      <c r="N159" s="58" t="str">
        <f t="shared" si="14"/>
        <v>YES</v>
      </c>
      <c r="O159" s="60" t="s">
        <v>541</v>
      </c>
    </row>
    <row r="160" spans="1:15" ht="15">
      <c r="A160" s="57">
        <v>155</v>
      </c>
      <c r="B160" s="58" t="s">
        <v>545</v>
      </c>
      <c r="C160" s="58" t="s">
        <v>471</v>
      </c>
      <c r="D160" s="58" t="s">
        <v>472</v>
      </c>
      <c r="E160" s="58" t="s">
        <v>539</v>
      </c>
      <c r="F160" s="58" t="s">
        <v>540</v>
      </c>
      <c r="G160" s="65" t="str">
        <f>Qualifiers!$C$11</f>
        <v>A4</v>
      </c>
      <c r="H160" s="65" t="str">
        <f>Qualifiers!$F$11</f>
        <v>B3</v>
      </c>
      <c r="I160" s="65" t="str">
        <f>Qualifiers!$F$11</f>
        <v>B3</v>
      </c>
      <c r="J160" s="58" t="str">
        <f t="shared" si="12"/>
        <v>VALID</v>
      </c>
      <c r="K160" s="59"/>
      <c r="L160" s="59"/>
      <c r="M160" s="58" t="str">
        <f t="shared" si="13"/>
        <v>A4</v>
      </c>
      <c r="N160" s="58" t="str">
        <f t="shared" si="14"/>
        <v>YES</v>
      </c>
      <c r="O160" s="60" t="s">
        <v>541</v>
      </c>
    </row>
    <row r="161" spans="1:15" ht="15">
      <c r="A161" s="57">
        <v>156</v>
      </c>
      <c r="B161" s="58" t="s">
        <v>545</v>
      </c>
      <c r="C161" s="58" t="s">
        <v>471</v>
      </c>
      <c r="D161" s="58" t="s">
        <v>475</v>
      </c>
      <c r="E161" s="58" t="s">
        <v>539</v>
      </c>
      <c r="F161" s="58" t="s">
        <v>540</v>
      </c>
      <c r="G161" s="65" t="str">
        <f>Qualifiers!$C$12</f>
        <v>A4</v>
      </c>
      <c r="H161" s="65" t="str">
        <f>Qualifiers!$F$12</f>
        <v>B3</v>
      </c>
      <c r="I161" s="65" t="str">
        <f>Qualifiers!$F$12</f>
        <v>B3</v>
      </c>
      <c r="J161" s="58" t="str">
        <f t="shared" si="12"/>
        <v>VALID</v>
      </c>
      <c r="K161" s="59"/>
      <c r="L161" s="59"/>
      <c r="M161" s="58" t="str">
        <f t="shared" si="13"/>
        <v>A4</v>
      </c>
      <c r="N161" s="58" t="str">
        <f t="shared" si="14"/>
        <v>YES</v>
      </c>
      <c r="O161" s="60" t="s">
        <v>541</v>
      </c>
    </row>
    <row r="162" spans="1:15" ht="15">
      <c r="A162" s="57">
        <v>157</v>
      </c>
      <c r="B162" s="58" t="s">
        <v>545</v>
      </c>
      <c r="C162" s="58" t="s">
        <v>471</v>
      </c>
      <c r="D162" s="58" t="s">
        <v>477</v>
      </c>
      <c r="E162" s="58" t="s">
        <v>539</v>
      </c>
      <c r="F162" s="58" t="s">
        <v>540</v>
      </c>
      <c r="G162" s="65" t="str">
        <f>Qualifiers!$C$13</f>
        <v>A4</v>
      </c>
      <c r="H162" s="65" t="str">
        <f>Qualifiers!$F$13</f>
        <v>B3</v>
      </c>
      <c r="I162" s="65" t="str">
        <f>Qualifiers!$F$13</f>
        <v>B3</v>
      </c>
      <c r="J162" s="58" t="str">
        <f t="shared" si="12"/>
        <v>VALID</v>
      </c>
      <c r="K162" s="59"/>
      <c r="L162" s="59"/>
      <c r="M162" s="58" t="str">
        <f t="shared" si="13"/>
        <v>A4</v>
      </c>
      <c r="N162" s="58" t="str">
        <f t="shared" si="14"/>
        <v>YES</v>
      </c>
      <c r="O162" s="60" t="s">
        <v>541</v>
      </c>
    </row>
    <row r="163" spans="1:15" ht="15">
      <c r="A163" s="57">
        <v>158</v>
      </c>
      <c r="B163" s="58" t="s">
        <v>546</v>
      </c>
      <c r="C163" s="58" t="s">
        <v>471</v>
      </c>
      <c r="D163" s="58" t="s">
        <v>472</v>
      </c>
      <c r="E163" s="58" t="s">
        <v>543</v>
      </c>
      <c r="F163" s="58" t="s">
        <v>544</v>
      </c>
      <c r="G163" s="65" t="str">
        <f>Qualifiers!$D$11</f>
        <v>A3</v>
      </c>
      <c r="H163" s="65" t="str">
        <f>Qualifiers!$E$11</f>
        <v>B4</v>
      </c>
      <c r="I163" s="65" t="str">
        <f>Qualifiers!$E$11</f>
        <v>B4</v>
      </c>
      <c r="J163" s="58" t="str">
        <f t="shared" si="12"/>
        <v>VALID</v>
      </c>
      <c r="K163" s="59"/>
      <c r="L163" s="59"/>
      <c r="M163" s="58" t="str">
        <f t="shared" si="13"/>
        <v>A3</v>
      </c>
      <c r="N163" s="58" t="str">
        <f t="shared" si="14"/>
        <v>YES</v>
      </c>
      <c r="O163" s="60" t="s">
        <v>541</v>
      </c>
    </row>
    <row r="164" spans="1:15" ht="15">
      <c r="A164" s="57">
        <v>159</v>
      </c>
      <c r="B164" s="58" t="s">
        <v>546</v>
      </c>
      <c r="C164" s="58" t="s">
        <v>471</v>
      </c>
      <c r="D164" s="58" t="s">
        <v>475</v>
      </c>
      <c r="E164" s="58" t="s">
        <v>543</v>
      </c>
      <c r="F164" s="58" t="s">
        <v>544</v>
      </c>
      <c r="G164" s="65" t="str">
        <f>Qualifiers!$D$12</f>
        <v>A3</v>
      </c>
      <c r="H164" s="65" t="str">
        <f>Qualifiers!$E$12</f>
        <v>B4</v>
      </c>
      <c r="I164" s="65" t="str">
        <f>Qualifiers!$E$12</f>
        <v>B4</v>
      </c>
      <c r="J164" s="58" t="str">
        <f t="shared" si="12"/>
        <v>VALID</v>
      </c>
      <c r="K164" s="59"/>
      <c r="L164" s="59"/>
      <c r="M164" s="58" t="str">
        <f t="shared" si="13"/>
        <v>A3</v>
      </c>
      <c r="N164" s="58" t="str">
        <f t="shared" si="14"/>
        <v>YES</v>
      </c>
      <c r="O164" s="60" t="s">
        <v>541</v>
      </c>
    </row>
    <row r="165" spans="1:15" ht="15">
      <c r="A165" s="57">
        <v>160</v>
      </c>
      <c r="B165" s="58" t="s">
        <v>546</v>
      </c>
      <c r="C165" s="58" t="s">
        <v>471</v>
      </c>
      <c r="D165" s="58" t="s">
        <v>477</v>
      </c>
      <c r="E165" s="58" t="s">
        <v>543</v>
      </c>
      <c r="F165" s="58" t="s">
        <v>544</v>
      </c>
      <c r="G165" s="65" t="str">
        <f>Qualifiers!$D$13</f>
        <v>A3</v>
      </c>
      <c r="H165" s="65" t="str">
        <f>Qualifiers!$E$13</f>
        <v>B4</v>
      </c>
      <c r="I165" s="65" t="str">
        <f>Qualifiers!$E$13</f>
        <v>B4</v>
      </c>
      <c r="J165" s="58" t="str">
        <f t="shared" si="12"/>
        <v>VALID</v>
      </c>
      <c r="K165" s="59"/>
      <c r="L165" s="59"/>
      <c r="M165" s="58" t="str">
        <f t="shared" si="13"/>
        <v>A3</v>
      </c>
      <c r="N165" s="58" t="str">
        <f t="shared" si="14"/>
        <v>YES</v>
      </c>
      <c r="O165" s="60" t="s">
        <v>541</v>
      </c>
    </row>
    <row r="166" spans="1:15" ht="15">
      <c r="A166" s="57">
        <v>161</v>
      </c>
      <c r="B166" s="58" t="s">
        <v>547</v>
      </c>
      <c r="C166" s="58" t="s">
        <v>479</v>
      </c>
      <c r="D166" s="58" t="s">
        <v>472</v>
      </c>
      <c r="E166" s="58" t="s">
        <v>539</v>
      </c>
      <c r="F166" s="58" t="s">
        <v>540</v>
      </c>
      <c r="G166" s="65" t="str">
        <f>Qualifiers!$C$14</f>
        <v>A4</v>
      </c>
      <c r="H166" s="65" t="str">
        <f>Qualifiers!$F$14</f>
        <v>B3</v>
      </c>
      <c r="I166" s="65" t="str">
        <f>Qualifiers!$F$14</f>
        <v>B3</v>
      </c>
      <c r="J166" s="58" t="str">
        <f t="shared" ref="J166:J185" si="15">IF(I166="","PENDING",IF(OR(I166=G166,I166=H166),"VALID","CHECK WINNER"))</f>
        <v>VALID</v>
      </c>
      <c r="K166" s="59"/>
      <c r="L166" s="59"/>
      <c r="M166" s="58" t="str">
        <f t="shared" ref="M166:M185" si="16">IF(J166="VALID",IF(I166=G166,H166,G166),"")</f>
        <v>A4</v>
      </c>
      <c r="N166" s="58" t="str">
        <f t="shared" ref="N166:N185" si="17">IF(J166="VALID","YES","NO")</f>
        <v>YES</v>
      </c>
      <c r="O166" s="60" t="s">
        <v>541</v>
      </c>
    </row>
    <row r="167" spans="1:15" ht="15">
      <c r="A167" s="57">
        <v>162</v>
      </c>
      <c r="B167" s="58" t="s">
        <v>547</v>
      </c>
      <c r="C167" s="58" t="s">
        <v>479</v>
      </c>
      <c r="D167" s="58" t="s">
        <v>475</v>
      </c>
      <c r="E167" s="58" t="s">
        <v>539</v>
      </c>
      <c r="F167" s="58" t="s">
        <v>540</v>
      </c>
      <c r="G167" s="65" t="str">
        <f>Qualifiers!$C$15</f>
        <v>A4</v>
      </c>
      <c r="H167" s="65" t="str">
        <f>Qualifiers!$F$15</f>
        <v>B3</v>
      </c>
      <c r="I167" s="65" t="str">
        <f>Qualifiers!$F$15</f>
        <v>B3</v>
      </c>
      <c r="J167" s="58" t="str">
        <f t="shared" si="15"/>
        <v>VALID</v>
      </c>
      <c r="K167" s="59"/>
      <c r="L167" s="59"/>
      <c r="M167" s="58" t="str">
        <f t="shared" si="16"/>
        <v>A4</v>
      </c>
      <c r="N167" s="58" t="str">
        <f t="shared" si="17"/>
        <v>YES</v>
      </c>
      <c r="O167" s="60" t="s">
        <v>541</v>
      </c>
    </row>
    <row r="168" spans="1:15" ht="15">
      <c r="A168" s="57">
        <v>163</v>
      </c>
      <c r="B168" s="58" t="s">
        <v>547</v>
      </c>
      <c r="C168" s="58" t="s">
        <v>479</v>
      </c>
      <c r="D168" s="58" t="s">
        <v>477</v>
      </c>
      <c r="E168" s="58" t="s">
        <v>539</v>
      </c>
      <c r="F168" s="58" t="s">
        <v>540</v>
      </c>
      <c r="G168" s="65" t="str">
        <f>Qualifiers!$C$16</f>
        <v>A4</v>
      </c>
      <c r="H168" s="65" t="str">
        <f>Qualifiers!$F$16</f>
        <v>B3</v>
      </c>
      <c r="I168" s="65" t="str">
        <f>Qualifiers!$F$16</f>
        <v>B3</v>
      </c>
      <c r="J168" s="58" t="str">
        <f t="shared" si="15"/>
        <v>VALID</v>
      </c>
      <c r="K168" s="59"/>
      <c r="L168" s="59"/>
      <c r="M168" s="58" t="str">
        <f t="shared" si="16"/>
        <v>A4</v>
      </c>
      <c r="N168" s="58" t="str">
        <f t="shared" si="17"/>
        <v>YES</v>
      </c>
      <c r="O168" s="60" t="s">
        <v>541</v>
      </c>
    </row>
    <row r="169" spans="1:15" ht="15">
      <c r="A169" s="57">
        <v>164</v>
      </c>
      <c r="B169" s="58" t="s">
        <v>547</v>
      </c>
      <c r="C169" s="58" t="s">
        <v>490</v>
      </c>
      <c r="D169" s="58" t="s">
        <v>491</v>
      </c>
      <c r="E169" s="58" t="s">
        <v>543</v>
      </c>
      <c r="F169" s="58" t="s">
        <v>544</v>
      </c>
      <c r="G169" s="65" t="str">
        <f>Qualifiers!$D$17</f>
        <v>A3</v>
      </c>
      <c r="H169" s="65" t="str">
        <f>Qualifiers!$E$17</f>
        <v>B4</v>
      </c>
      <c r="I169" s="65" t="str">
        <f>Qualifiers!$E$17</f>
        <v>B4</v>
      </c>
      <c r="J169" s="58" t="str">
        <f t="shared" si="15"/>
        <v>VALID</v>
      </c>
      <c r="K169" s="59"/>
      <c r="L169" s="59"/>
      <c r="M169" s="58" t="str">
        <f t="shared" si="16"/>
        <v>A3</v>
      </c>
      <c r="N169" s="58" t="str">
        <f t="shared" si="17"/>
        <v>YES</v>
      </c>
      <c r="O169" s="60" t="s">
        <v>541</v>
      </c>
    </row>
    <row r="170" spans="1:15" ht="15">
      <c r="A170" s="57">
        <v>165</v>
      </c>
      <c r="B170" s="58" t="s">
        <v>548</v>
      </c>
      <c r="C170" s="58" t="s">
        <v>479</v>
      </c>
      <c r="D170" s="58" t="s">
        <v>472</v>
      </c>
      <c r="E170" s="58" t="s">
        <v>543</v>
      </c>
      <c r="F170" s="58" t="s">
        <v>544</v>
      </c>
      <c r="G170" s="65" t="str">
        <f>Qualifiers!$D$14</f>
        <v>A3</v>
      </c>
      <c r="H170" s="65" t="str">
        <f>Qualifiers!$E$14</f>
        <v>B4</v>
      </c>
      <c r="I170" s="65" t="str">
        <f>Qualifiers!$E$14</f>
        <v>B4</v>
      </c>
      <c r="J170" s="58" t="str">
        <f t="shared" si="15"/>
        <v>VALID</v>
      </c>
      <c r="K170" s="59"/>
      <c r="L170" s="59"/>
      <c r="M170" s="58" t="str">
        <f t="shared" si="16"/>
        <v>A3</v>
      </c>
      <c r="N170" s="58" t="str">
        <f t="shared" si="17"/>
        <v>YES</v>
      </c>
      <c r="O170" s="60" t="s">
        <v>541</v>
      </c>
    </row>
    <row r="171" spans="1:15" ht="15">
      <c r="A171" s="57">
        <v>166</v>
      </c>
      <c r="B171" s="58" t="s">
        <v>548</v>
      </c>
      <c r="C171" s="58" t="s">
        <v>479</v>
      </c>
      <c r="D171" s="58" t="s">
        <v>475</v>
      </c>
      <c r="E171" s="58" t="s">
        <v>543</v>
      </c>
      <c r="F171" s="58" t="s">
        <v>544</v>
      </c>
      <c r="G171" s="65" t="str">
        <f>Qualifiers!$D$15</f>
        <v>A3</v>
      </c>
      <c r="H171" s="65" t="str">
        <f>Qualifiers!$E$15</f>
        <v>B4</v>
      </c>
      <c r="I171" s="65" t="str">
        <f>Qualifiers!$E$15</f>
        <v>B4</v>
      </c>
      <c r="J171" s="58" t="str">
        <f t="shared" si="15"/>
        <v>VALID</v>
      </c>
      <c r="K171" s="59"/>
      <c r="L171" s="59"/>
      <c r="M171" s="58" t="str">
        <f t="shared" si="16"/>
        <v>A3</v>
      </c>
      <c r="N171" s="58" t="str">
        <f t="shared" si="17"/>
        <v>YES</v>
      </c>
      <c r="O171" s="60" t="s">
        <v>541</v>
      </c>
    </row>
    <row r="172" spans="1:15" ht="15">
      <c r="A172" s="57">
        <v>167</v>
      </c>
      <c r="B172" s="58" t="s">
        <v>548</v>
      </c>
      <c r="C172" s="58" t="s">
        <v>479</v>
      </c>
      <c r="D172" s="58" t="s">
        <v>477</v>
      </c>
      <c r="E172" s="58" t="s">
        <v>543</v>
      </c>
      <c r="F172" s="58" t="s">
        <v>544</v>
      </c>
      <c r="G172" s="65" t="str">
        <f>Qualifiers!$D$16</f>
        <v>A3</v>
      </c>
      <c r="H172" s="65" t="str">
        <f>Qualifiers!$E$16</f>
        <v>B4</v>
      </c>
      <c r="I172" s="65" t="str">
        <f>Qualifiers!$E$16</f>
        <v>B4</v>
      </c>
      <c r="J172" s="58" t="str">
        <f t="shared" si="15"/>
        <v>VALID</v>
      </c>
      <c r="K172" s="59"/>
      <c r="L172" s="59"/>
      <c r="M172" s="58" t="str">
        <f t="shared" si="16"/>
        <v>A3</v>
      </c>
      <c r="N172" s="58" t="str">
        <f t="shared" si="17"/>
        <v>YES</v>
      </c>
      <c r="O172" s="60" t="s">
        <v>541</v>
      </c>
    </row>
    <row r="173" spans="1:15" ht="15">
      <c r="A173" s="57">
        <v>168</v>
      </c>
      <c r="B173" s="58" t="s">
        <v>548</v>
      </c>
      <c r="C173" s="58" t="s">
        <v>490</v>
      </c>
      <c r="D173" s="58" t="s">
        <v>491</v>
      </c>
      <c r="E173" s="58" t="s">
        <v>539</v>
      </c>
      <c r="F173" s="58" t="s">
        <v>540</v>
      </c>
      <c r="G173" s="65" t="str">
        <f>Qualifiers!$C$17</f>
        <v>A4</v>
      </c>
      <c r="H173" s="65" t="str">
        <f>Qualifiers!$F$17</f>
        <v>B3</v>
      </c>
      <c r="I173" s="65" t="str">
        <f>Qualifiers!$F$17</f>
        <v>B3</v>
      </c>
      <c r="J173" s="58" t="str">
        <f t="shared" si="15"/>
        <v>VALID</v>
      </c>
      <c r="K173" s="59"/>
      <c r="L173" s="59"/>
      <c r="M173" s="58" t="str">
        <f t="shared" si="16"/>
        <v>A4</v>
      </c>
      <c r="N173" s="58" t="str">
        <f t="shared" si="17"/>
        <v>YES</v>
      </c>
      <c r="O173" s="60" t="s">
        <v>541</v>
      </c>
    </row>
    <row r="174" spans="1:15" ht="15">
      <c r="A174" s="57">
        <v>169</v>
      </c>
      <c r="B174" s="58" t="s">
        <v>549</v>
      </c>
      <c r="C174" s="58" t="s">
        <v>486</v>
      </c>
      <c r="D174" s="58" t="s">
        <v>472</v>
      </c>
      <c r="E174" s="58" t="s">
        <v>550</v>
      </c>
      <c r="F174" s="58" t="s">
        <v>551</v>
      </c>
      <c r="G174" s="65" t="str">
        <f>IF(J150="VALID",I150,"")</f>
        <v>A1</v>
      </c>
      <c r="H174" s="65" t="str">
        <f>IF(J155="VALID",I155,"")</f>
        <v>B4</v>
      </c>
      <c r="I174" s="66" t="s">
        <v>42</v>
      </c>
      <c r="J174" s="58" t="str">
        <f t="shared" si="15"/>
        <v>VALID</v>
      </c>
      <c r="K174" s="59"/>
      <c r="L174" s="59"/>
      <c r="M174" s="58" t="str">
        <f t="shared" si="16"/>
        <v>B4</v>
      </c>
      <c r="N174" s="58" t="str">
        <f t="shared" si="17"/>
        <v>YES</v>
      </c>
      <c r="O174" s="60" t="s">
        <v>541</v>
      </c>
    </row>
    <row r="175" spans="1:15" ht="15">
      <c r="A175" s="57">
        <v>170</v>
      </c>
      <c r="B175" s="58" t="s">
        <v>549</v>
      </c>
      <c r="C175" s="58" t="s">
        <v>486</v>
      </c>
      <c r="D175" s="58" t="s">
        <v>475</v>
      </c>
      <c r="E175" s="58" t="s">
        <v>550</v>
      </c>
      <c r="F175" s="58" t="s">
        <v>551</v>
      </c>
      <c r="G175" s="65" t="str">
        <f>IF(J151="VALID",I151,"")</f>
        <v>B3</v>
      </c>
      <c r="H175" s="65" t="str">
        <f>IF(J156="VALID",I156,"")</f>
        <v>B4</v>
      </c>
      <c r="I175" s="66"/>
      <c r="J175" s="58" t="str">
        <f t="shared" si="15"/>
        <v>PENDING</v>
      </c>
      <c r="K175" s="59"/>
      <c r="L175" s="59"/>
      <c r="M175" s="58" t="str">
        <f t="shared" si="16"/>
        <v/>
      </c>
      <c r="N175" s="58" t="str">
        <f t="shared" si="17"/>
        <v>NO</v>
      </c>
      <c r="O175" s="60" t="s">
        <v>541</v>
      </c>
    </row>
    <row r="176" spans="1:15" ht="15">
      <c r="A176" s="57">
        <v>171</v>
      </c>
      <c r="B176" s="58" t="s">
        <v>549</v>
      </c>
      <c r="C176" s="58" t="s">
        <v>486</v>
      </c>
      <c r="D176" s="58" t="s">
        <v>477</v>
      </c>
      <c r="E176" s="58" t="s">
        <v>550</v>
      </c>
      <c r="F176" s="58" t="s">
        <v>551</v>
      </c>
      <c r="G176" s="65" t="str">
        <f>IF(J152="VALID",I152,"")</f>
        <v>B3</v>
      </c>
      <c r="H176" s="65" t="str">
        <f>IF(J157="VALID",I157,"")</f>
        <v>B4</v>
      </c>
      <c r="I176" s="66"/>
      <c r="J176" s="58" t="str">
        <f t="shared" si="15"/>
        <v>PENDING</v>
      </c>
      <c r="K176" s="59"/>
      <c r="L176" s="59"/>
      <c r="M176" s="58" t="str">
        <f t="shared" si="16"/>
        <v/>
      </c>
      <c r="N176" s="58" t="str">
        <f t="shared" si="17"/>
        <v>NO</v>
      </c>
      <c r="O176" s="60" t="s">
        <v>541</v>
      </c>
    </row>
    <row r="177" spans="1:15" ht="15">
      <c r="A177" s="57">
        <v>172</v>
      </c>
      <c r="B177" s="58" t="s">
        <v>552</v>
      </c>
      <c r="C177" s="58" t="s">
        <v>483</v>
      </c>
      <c r="D177" s="58" t="s">
        <v>472</v>
      </c>
      <c r="E177" s="58" t="s">
        <v>550</v>
      </c>
      <c r="F177" s="58" t="s">
        <v>551</v>
      </c>
      <c r="G177" s="65" t="str">
        <f>IF(J153="VALID",I153,"")</f>
        <v>B3</v>
      </c>
      <c r="H177" s="65" t="str">
        <f>IF(J158="VALID",I158,"")</f>
        <v>B4</v>
      </c>
      <c r="I177" s="66"/>
      <c r="J177" s="58" t="str">
        <f t="shared" si="15"/>
        <v>PENDING</v>
      </c>
      <c r="K177" s="59"/>
      <c r="L177" s="59"/>
      <c r="M177" s="58" t="str">
        <f t="shared" si="16"/>
        <v/>
      </c>
      <c r="N177" s="58" t="str">
        <f t="shared" si="17"/>
        <v>NO</v>
      </c>
      <c r="O177" s="60" t="s">
        <v>541</v>
      </c>
    </row>
    <row r="178" spans="1:15" ht="15">
      <c r="A178" s="57">
        <v>173</v>
      </c>
      <c r="B178" s="58" t="s">
        <v>552</v>
      </c>
      <c r="C178" s="58" t="s">
        <v>483</v>
      </c>
      <c r="D178" s="58" t="s">
        <v>477</v>
      </c>
      <c r="E178" s="58" t="s">
        <v>550</v>
      </c>
      <c r="F178" s="58" t="s">
        <v>551</v>
      </c>
      <c r="G178" s="65" t="str">
        <f>IF(J154="VALID",I154,"")</f>
        <v>B3</v>
      </c>
      <c r="H178" s="65" t="str">
        <f>IF(J159="VALID",I159,"")</f>
        <v>B4</v>
      </c>
      <c r="I178" s="66"/>
      <c r="J178" s="58" t="str">
        <f t="shared" si="15"/>
        <v>PENDING</v>
      </c>
      <c r="K178" s="59"/>
      <c r="L178" s="59"/>
      <c r="M178" s="58" t="str">
        <f t="shared" si="16"/>
        <v/>
      </c>
      <c r="N178" s="58" t="str">
        <f t="shared" si="17"/>
        <v>NO</v>
      </c>
      <c r="O178" s="60" t="s">
        <v>541</v>
      </c>
    </row>
    <row r="179" spans="1:15" ht="15">
      <c r="A179" s="57">
        <v>175</v>
      </c>
      <c r="B179" s="58" t="s">
        <v>553</v>
      </c>
      <c r="C179" s="58" t="s">
        <v>471</v>
      </c>
      <c r="D179" s="58" t="s">
        <v>472</v>
      </c>
      <c r="E179" s="58" t="s">
        <v>550</v>
      </c>
      <c r="F179" s="58" t="s">
        <v>551</v>
      </c>
      <c r="G179" s="65" t="str">
        <f>IF(J160="VALID",I160,"")</f>
        <v>B3</v>
      </c>
      <c r="H179" s="65" t="str">
        <f>IF(J163="VALID",I163,"")</f>
        <v>B4</v>
      </c>
      <c r="I179" s="66" t="s">
        <v>49</v>
      </c>
      <c r="J179" s="58" t="str">
        <f t="shared" si="15"/>
        <v>VALID</v>
      </c>
      <c r="K179" s="59"/>
      <c r="L179" s="59"/>
      <c r="M179" s="58" t="str">
        <f t="shared" si="16"/>
        <v>B3</v>
      </c>
      <c r="N179" s="58" t="str">
        <f t="shared" si="17"/>
        <v>YES</v>
      </c>
      <c r="O179" s="60" t="s">
        <v>541</v>
      </c>
    </row>
    <row r="180" spans="1:15" ht="15">
      <c r="A180" s="57">
        <v>176</v>
      </c>
      <c r="B180" s="58" t="s">
        <v>553</v>
      </c>
      <c r="C180" s="58" t="s">
        <v>471</v>
      </c>
      <c r="D180" s="58" t="s">
        <v>475</v>
      </c>
      <c r="E180" s="58" t="s">
        <v>550</v>
      </c>
      <c r="F180" s="58" t="s">
        <v>551</v>
      </c>
      <c r="G180" s="65" t="str">
        <f>IF(J161="VALID",I161,"")</f>
        <v>B3</v>
      </c>
      <c r="H180" s="65" t="str">
        <f>IF(J164="VALID",I164,"")</f>
        <v>B4</v>
      </c>
      <c r="I180" s="66"/>
      <c r="J180" s="58" t="str">
        <f t="shared" si="15"/>
        <v>PENDING</v>
      </c>
      <c r="K180" s="59"/>
      <c r="L180" s="59"/>
      <c r="M180" s="58" t="str">
        <f t="shared" si="16"/>
        <v/>
      </c>
      <c r="N180" s="58" t="str">
        <f t="shared" si="17"/>
        <v>NO</v>
      </c>
      <c r="O180" s="60" t="s">
        <v>541</v>
      </c>
    </row>
    <row r="181" spans="1:15" ht="15">
      <c r="A181" s="57">
        <v>177</v>
      </c>
      <c r="B181" s="58" t="s">
        <v>553</v>
      </c>
      <c r="C181" s="58" t="s">
        <v>471</v>
      </c>
      <c r="D181" s="58" t="s">
        <v>477</v>
      </c>
      <c r="E181" s="58" t="s">
        <v>550</v>
      </c>
      <c r="F181" s="58" t="s">
        <v>551</v>
      </c>
      <c r="G181" s="65" t="str">
        <f>IF(J162="VALID",I162,"")</f>
        <v>B3</v>
      </c>
      <c r="H181" s="65" t="str">
        <f>IF(J165="VALID",I165,"")</f>
        <v>B4</v>
      </c>
      <c r="I181" s="66"/>
      <c r="J181" s="58" t="str">
        <f t="shared" si="15"/>
        <v>PENDING</v>
      </c>
      <c r="K181" s="59"/>
      <c r="L181" s="59"/>
      <c r="M181" s="58" t="str">
        <f t="shared" si="16"/>
        <v/>
      </c>
      <c r="N181" s="58" t="str">
        <f t="shared" si="17"/>
        <v>NO</v>
      </c>
      <c r="O181" s="60" t="s">
        <v>541</v>
      </c>
    </row>
    <row r="182" spans="1:15" ht="15">
      <c r="A182" s="57">
        <v>178</v>
      </c>
      <c r="B182" s="58" t="s">
        <v>554</v>
      </c>
      <c r="C182" s="58" t="s">
        <v>479</v>
      </c>
      <c r="D182" s="58" t="s">
        <v>472</v>
      </c>
      <c r="E182" s="58" t="s">
        <v>550</v>
      </c>
      <c r="F182" s="58" t="s">
        <v>551</v>
      </c>
      <c r="G182" s="65" t="str">
        <f>IF(J166="VALID",I166,"")</f>
        <v>B3</v>
      </c>
      <c r="H182" s="65" t="str">
        <f>IF(J170="VALID",I170,"")</f>
        <v>B4</v>
      </c>
      <c r="I182" s="66"/>
      <c r="J182" s="58" t="str">
        <f t="shared" si="15"/>
        <v>PENDING</v>
      </c>
      <c r="K182" s="59"/>
      <c r="L182" s="59"/>
      <c r="M182" s="58" t="str">
        <f t="shared" si="16"/>
        <v/>
      </c>
      <c r="N182" s="58" t="str">
        <f t="shared" si="17"/>
        <v>NO</v>
      </c>
      <c r="O182" s="60" t="s">
        <v>541</v>
      </c>
    </row>
    <row r="183" spans="1:15" ht="15">
      <c r="A183" s="57">
        <v>179</v>
      </c>
      <c r="B183" s="58" t="s">
        <v>554</v>
      </c>
      <c r="C183" s="58" t="s">
        <v>479</v>
      </c>
      <c r="D183" s="58" t="s">
        <v>475</v>
      </c>
      <c r="E183" s="58" t="s">
        <v>550</v>
      </c>
      <c r="F183" s="58" t="s">
        <v>551</v>
      </c>
      <c r="G183" s="65" t="str">
        <f>IF(J167="VALID",I167,"")</f>
        <v>B3</v>
      </c>
      <c r="H183" s="65" t="str">
        <f>IF(J171="VALID",I171,"")</f>
        <v>B4</v>
      </c>
      <c r="I183" s="66"/>
      <c r="J183" s="58" t="str">
        <f t="shared" si="15"/>
        <v>PENDING</v>
      </c>
      <c r="K183" s="59"/>
      <c r="L183" s="59"/>
      <c r="M183" s="58" t="str">
        <f t="shared" si="16"/>
        <v/>
      </c>
      <c r="N183" s="58" t="str">
        <f t="shared" si="17"/>
        <v>NO</v>
      </c>
      <c r="O183" s="60" t="s">
        <v>541</v>
      </c>
    </row>
    <row r="184" spans="1:15" ht="15">
      <c r="A184" s="57">
        <v>180</v>
      </c>
      <c r="B184" s="58" t="s">
        <v>554</v>
      </c>
      <c r="C184" s="58" t="s">
        <v>479</v>
      </c>
      <c r="D184" s="58" t="s">
        <v>477</v>
      </c>
      <c r="E184" s="58" t="s">
        <v>550</v>
      </c>
      <c r="F184" s="58" t="s">
        <v>551</v>
      </c>
      <c r="G184" s="65" t="str">
        <f>IF(J168="VALID",I168,"")</f>
        <v>B3</v>
      </c>
      <c r="H184" s="65" t="str">
        <f>IF(J172="VALID",I172,"")</f>
        <v>B4</v>
      </c>
      <c r="I184" s="66"/>
      <c r="J184" s="58" t="str">
        <f t="shared" si="15"/>
        <v>PENDING</v>
      </c>
      <c r="K184" s="59"/>
      <c r="L184" s="59"/>
      <c r="M184" s="58" t="str">
        <f t="shared" si="16"/>
        <v/>
      </c>
      <c r="N184" s="58" t="str">
        <f t="shared" si="17"/>
        <v>NO</v>
      </c>
      <c r="O184" s="60" t="s">
        <v>541</v>
      </c>
    </row>
    <row r="185" spans="1:15" ht="15">
      <c r="A185" s="61">
        <v>181</v>
      </c>
      <c r="B185" s="62" t="s">
        <v>555</v>
      </c>
      <c r="C185" s="62" t="s">
        <v>490</v>
      </c>
      <c r="D185" s="62" t="s">
        <v>491</v>
      </c>
      <c r="E185" s="62" t="s">
        <v>550</v>
      </c>
      <c r="F185" s="62" t="s">
        <v>551</v>
      </c>
      <c r="G185" s="65" t="str">
        <f>IF(J173="VALID",I173,"")</f>
        <v>B3</v>
      </c>
      <c r="H185" s="65" t="str">
        <f>IF(J169="VALID",I169,"")</f>
        <v>B4</v>
      </c>
      <c r="I185" s="66"/>
      <c r="J185" s="62" t="str">
        <f t="shared" si="15"/>
        <v>PENDING</v>
      </c>
      <c r="K185" s="63"/>
      <c r="L185" s="63"/>
      <c r="M185" s="62" t="str">
        <f t="shared" si="16"/>
        <v/>
      </c>
      <c r="N185" s="62" t="str">
        <f t="shared" si="17"/>
        <v>NO</v>
      </c>
      <c r="O185" s="64" t="s">
        <v>541</v>
      </c>
    </row>
  </sheetData>
  <mergeCells count="2">
    <mergeCell ref="A1:O2"/>
    <mergeCell ref="A3:O3"/>
  </mergeCells>
  <conditionalFormatting sqref="J6:J185">
    <cfRule type="containsText" dxfId="7" priority="1" operator="containsText" text="VALID"/>
    <cfRule type="containsText" dxfId="6" priority="2" operator="containsText" text="CHECK"/>
    <cfRule type="containsText" dxfId="5" priority="3" operator="containsText" text="PENDING"/>
  </conditionalFormatting>
  <dataValidations disablePrompts="1" count="1">
    <dataValidation type="list" sqref="G6:I185" xr:uid="{00000000-0002-0000-0300-000000000000}">
      <formula1>"A1,A2,A3,A4,B1,B2,B3,B4"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75"/>
  <sheetViews>
    <sheetView showGridLines="0" workbookViewId="0">
      <selection activeCell="D5" sqref="D5"/>
    </sheetView>
  </sheetViews>
  <sheetFormatPr defaultRowHeight="14.25"/>
  <cols>
    <col min="1" max="1" width="10" customWidth="1"/>
    <col min="2" max="2" width="19" customWidth="1"/>
    <col min="3" max="3" width="12" customWidth="1"/>
    <col min="4" max="4" width="17" customWidth="1"/>
    <col min="5" max="5" width="18" customWidth="1"/>
    <col min="6" max="6" width="13" customWidth="1"/>
    <col min="7" max="7" width="14" customWidth="1"/>
    <col min="8" max="9" width="8" customWidth="1"/>
    <col min="10" max="10" width="20" customWidth="1"/>
    <col min="11" max="11" width="25" customWidth="1"/>
    <col min="12" max="12" width="16" customWidth="1"/>
    <col min="13" max="13" width="20" customWidth="1"/>
    <col min="14" max="14" width="17" customWidth="1"/>
    <col min="15" max="15" width="55" customWidth="1"/>
  </cols>
  <sheetData>
    <row r="1" spans="1:15" ht="33.950000000000003" customHeight="1">
      <c r="A1" s="68" t="s">
        <v>504</v>
      </c>
      <c r="B1" s="68" t="s">
        <v>504</v>
      </c>
      <c r="C1" s="68" t="s">
        <v>504</v>
      </c>
      <c r="D1" s="68" t="s">
        <v>504</v>
      </c>
      <c r="E1" s="68" t="s">
        <v>504</v>
      </c>
      <c r="F1" s="68" t="s">
        <v>504</v>
      </c>
      <c r="G1" s="68" t="s">
        <v>504</v>
      </c>
      <c r="H1" s="68" t="s">
        <v>504</v>
      </c>
      <c r="I1" s="68" t="s">
        <v>504</v>
      </c>
      <c r="J1" s="68" t="s">
        <v>504</v>
      </c>
      <c r="K1" s="68" t="s">
        <v>504</v>
      </c>
      <c r="L1" s="68" t="s">
        <v>504</v>
      </c>
      <c r="M1" s="68" t="s">
        <v>504</v>
      </c>
      <c r="N1" s="68" t="s">
        <v>504</v>
      </c>
      <c r="O1" s="68" t="s">
        <v>504</v>
      </c>
    </row>
    <row r="2" spans="1:15" ht="33.950000000000003" customHeight="1">
      <c r="A2" s="68" t="s">
        <v>504</v>
      </c>
      <c r="B2" s="68" t="s">
        <v>504</v>
      </c>
      <c r="C2" s="68" t="s">
        <v>504</v>
      </c>
      <c r="D2" s="68" t="s">
        <v>504</v>
      </c>
      <c r="E2" s="68" t="s">
        <v>504</v>
      </c>
      <c r="F2" s="68" t="s">
        <v>504</v>
      </c>
      <c r="G2" s="68" t="s">
        <v>504</v>
      </c>
      <c r="H2" s="68" t="s">
        <v>504</v>
      </c>
      <c r="I2" s="68" t="s">
        <v>504</v>
      </c>
      <c r="J2" s="68" t="s">
        <v>504</v>
      </c>
      <c r="K2" s="68" t="s">
        <v>504</v>
      </c>
      <c r="L2" s="68" t="s">
        <v>504</v>
      </c>
      <c r="M2" s="68" t="s">
        <v>504</v>
      </c>
      <c r="N2" s="68" t="s">
        <v>504</v>
      </c>
      <c r="O2" s="68" t="s">
        <v>504</v>
      </c>
    </row>
    <row r="3" spans="1:15" ht="15">
      <c r="A3" s="73" t="s">
        <v>505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</row>
    <row r="4" spans="1:15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5">
      <c r="A5" s="27" t="s">
        <v>456</v>
      </c>
      <c r="B5" s="28" t="s">
        <v>457</v>
      </c>
      <c r="C5" s="28" t="s">
        <v>460</v>
      </c>
      <c r="D5" s="28" t="s">
        <v>458</v>
      </c>
      <c r="E5" s="28" t="s">
        <v>459</v>
      </c>
      <c r="F5" s="28" t="s">
        <v>506</v>
      </c>
      <c r="G5" s="28" t="s">
        <v>507</v>
      </c>
      <c r="H5" s="28" t="s">
        <v>508</v>
      </c>
      <c r="I5" s="28" t="s">
        <v>509</v>
      </c>
      <c r="J5" s="28" t="s">
        <v>510</v>
      </c>
      <c r="K5" s="28" t="s">
        <v>511</v>
      </c>
      <c r="L5" s="28" t="s">
        <v>512</v>
      </c>
      <c r="M5" s="28" t="s">
        <v>513</v>
      </c>
      <c r="N5" s="28" t="s">
        <v>514</v>
      </c>
      <c r="O5" s="29" t="s">
        <v>515</v>
      </c>
    </row>
    <row r="6" spans="1:15" ht="15">
      <c r="A6" s="30">
        <v>1</v>
      </c>
      <c r="B6" s="31" t="s">
        <v>470</v>
      </c>
      <c r="C6" s="31" t="s">
        <v>473</v>
      </c>
      <c r="D6" s="31" t="s">
        <v>471</v>
      </c>
      <c r="E6" s="31" t="s">
        <v>472</v>
      </c>
      <c r="F6" s="31" t="str">
        <f>IF(H6=1,INDEX('Match Results'!$G$6:$G$185,MATCH(A6,'Match Results'!$A$6:$A$185,0)),INDEX('Match Results'!$H$6:$H$185,MATCH(A6,'Match Results'!$A$6:$A$185,0)))</f>
        <v>A1</v>
      </c>
      <c r="G6" s="31" t="str">
        <f>IF(H6=1,INDEX('Match Results'!$H$6:$H$185,MATCH(A6,'Match Results'!$A$6:$A$185,0)),INDEX('Match Results'!$G$6:$G$185,MATCH(A6,'Match Results'!$A$6:$A$185,0)))</f>
        <v>A2</v>
      </c>
      <c r="H6" s="31">
        <v>1</v>
      </c>
      <c r="I6" s="31">
        <v>1</v>
      </c>
      <c r="J6" s="32"/>
      <c r="K6" s="31" t="str">
        <f>IF(J6="","",IFERROR(INDEX('Team Rosters'!$C$6:$C$205,MATCH(J6,'Team Rosters'!$B$6:$B$205,0)),"CODE NOT FOUND"))</f>
        <v/>
      </c>
      <c r="L6" s="31" t="str">
        <f t="shared" ref="L6:L69" si="0">IF(J6="","",IF(AND(K6&lt;&gt;"",K6&lt;&gt;"CODE NOT FOUND",LEFT(J6,2)=F6),"VALID","CHECK ROSTER"))</f>
        <v/>
      </c>
      <c r="M6" s="31" t="str">
        <f>IF(OR(J6="",C6&lt;&gt;"League",L6&lt;&gt;"VALID"),"",COUNTIFS($J$6:J6,J6,$G$6:G6,G6,$C$6:C6,"League"))</f>
        <v/>
      </c>
      <c r="N6" s="31" t="str">
        <f t="shared" ref="N6:N69" si="1">IF(J6="","",IF(L6&lt;&gt;"VALID","CHECK ROSTER",IF(C6&lt;&gt;"League","NOT APPLICABLE",IF(M6&lt;=2,"OK","VIOLATION"))))</f>
        <v/>
      </c>
      <c r="O6" s="37" t="str">
        <f t="shared" ref="O6:O69" si="2">IF(N6="VIOLATION",K6&amp;" has played "&amp;M6&amp;" league matches against "&amp;G6&amp;"; limit is 2.","")</f>
        <v/>
      </c>
    </row>
    <row r="7" spans="1:15" ht="15">
      <c r="A7" s="30">
        <v>1</v>
      </c>
      <c r="B7" s="31" t="s">
        <v>470</v>
      </c>
      <c r="C7" s="31" t="s">
        <v>473</v>
      </c>
      <c r="D7" s="31" t="s">
        <v>471</v>
      </c>
      <c r="E7" s="31" t="s">
        <v>472</v>
      </c>
      <c r="F7" s="31" t="str">
        <f>IF(H7=1,INDEX('Match Results'!$G$6:$G$185,MATCH(A7,'Match Results'!$A$6:$A$185,0)),INDEX('Match Results'!$H$6:$H$185,MATCH(A7,'Match Results'!$A$6:$A$185,0)))</f>
        <v>A1</v>
      </c>
      <c r="G7" s="31" t="str">
        <f>IF(H7=1,INDEX('Match Results'!$H$6:$H$185,MATCH(A7,'Match Results'!$A$6:$A$185,0)),INDEX('Match Results'!$G$6:$G$185,MATCH(A7,'Match Results'!$A$6:$A$185,0)))</f>
        <v>A2</v>
      </c>
      <c r="H7" s="31">
        <v>1</v>
      </c>
      <c r="I7" s="31">
        <v>2</v>
      </c>
      <c r="J7" s="32"/>
      <c r="K7" s="31" t="str">
        <f>IF(J7="","",IFERROR(INDEX('Team Rosters'!$C$6:$C$205,MATCH(J7,'Team Rosters'!$B$6:$B$205,0)),"CODE NOT FOUND"))</f>
        <v/>
      </c>
      <c r="L7" s="31" t="str">
        <f t="shared" si="0"/>
        <v/>
      </c>
      <c r="M7" s="31" t="str">
        <f>IF(OR(J7="",C7&lt;&gt;"League",L7&lt;&gt;"VALID"),"",COUNTIFS($J$6:J7,J7,$G$6:G7,G7,$C$6:C7,"League"))</f>
        <v/>
      </c>
      <c r="N7" s="31" t="str">
        <f t="shared" si="1"/>
        <v/>
      </c>
      <c r="O7" s="37" t="str">
        <f t="shared" si="2"/>
        <v/>
      </c>
    </row>
    <row r="8" spans="1:15" ht="15">
      <c r="A8" s="30">
        <v>1</v>
      </c>
      <c r="B8" s="31" t="s">
        <v>470</v>
      </c>
      <c r="C8" s="31" t="s">
        <v>473</v>
      </c>
      <c r="D8" s="31" t="s">
        <v>471</v>
      </c>
      <c r="E8" s="31" t="s">
        <v>472</v>
      </c>
      <c r="F8" s="31" t="str">
        <f>IF(H8=1,INDEX('Match Results'!$G$6:$G$185,MATCH(A8,'Match Results'!$A$6:$A$185,0)),INDEX('Match Results'!$H$6:$H$185,MATCH(A8,'Match Results'!$A$6:$A$185,0)))</f>
        <v>A2</v>
      </c>
      <c r="G8" s="31" t="str">
        <f>IF(H8=1,INDEX('Match Results'!$H$6:$H$185,MATCH(A8,'Match Results'!$A$6:$A$185,0)),INDEX('Match Results'!$G$6:$G$185,MATCH(A8,'Match Results'!$A$6:$A$185,0)))</f>
        <v>A1</v>
      </c>
      <c r="H8" s="31">
        <v>2</v>
      </c>
      <c r="I8" s="31">
        <v>3</v>
      </c>
      <c r="J8" s="32"/>
      <c r="K8" s="31" t="str">
        <f>IF(J8="","",IFERROR(INDEX('Team Rosters'!$C$6:$C$205,MATCH(J8,'Team Rosters'!$B$6:$B$205,0)),"CODE NOT FOUND"))</f>
        <v/>
      </c>
      <c r="L8" s="31" t="str">
        <f t="shared" si="0"/>
        <v/>
      </c>
      <c r="M8" s="31" t="str">
        <f>IF(OR(J8="",C8&lt;&gt;"League",L8&lt;&gt;"VALID"),"",COUNTIFS($J$6:J8,J8,$G$6:G8,G8,$C$6:C8,"League"))</f>
        <v/>
      </c>
      <c r="N8" s="31" t="str">
        <f t="shared" si="1"/>
        <v/>
      </c>
      <c r="O8" s="37" t="str">
        <f t="shared" si="2"/>
        <v/>
      </c>
    </row>
    <row r="9" spans="1:15" ht="15">
      <c r="A9" s="30">
        <v>1</v>
      </c>
      <c r="B9" s="31" t="s">
        <v>470</v>
      </c>
      <c r="C9" s="31" t="s">
        <v>473</v>
      </c>
      <c r="D9" s="31" t="s">
        <v>471</v>
      </c>
      <c r="E9" s="31" t="s">
        <v>472</v>
      </c>
      <c r="F9" s="31" t="str">
        <f>IF(H9=1,INDEX('Match Results'!$G$6:$G$185,MATCH(A9,'Match Results'!$A$6:$A$185,0)),INDEX('Match Results'!$H$6:$H$185,MATCH(A9,'Match Results'!$A$6:$A$185,0)))</f>
        <v>A2</v>
      </c>
      <c r="G9" s="31" t="str">
        <f>IF(H9=1,INDEX('Match Results'!$H$6:$H$185,MATCH(A9,'Match Results'!$A$6:$A$185,0)),INDEX('Match Results'!$G$6:$G$185,MATCH(A9,'Match Results'!$A$6:$A$185,0)))</f>
        <v>A1</v>
      </c>
      <c r="H9" s="31">
        <v>2</v>
      </c>
      <c r="I9" s="31">
        <v>4</v>
      </c>
      <c r="J9" s="32"/>
      <c r="K9" s="31" t="str">
        <f>IF(J9="","",IFERROR(INDEX('Team Rosters'!$C$6:$C$205,MATCH(J9,'Team Rosters'!$B$6:$B$205,0)),"CODE NOT FOUND"))</f>
        <v/>
      </c>
      <c r="L9" s="31" t="str">
        <f t="shared" si="0"/>
        <v/>
      </c>
      <c r="M9" s="31" t="str">
        <f>IF(OR(J9="",C9&lt;&gt;"League",L9&lt;&gt;"VALID"),"",COUNTIFS($J$6:J9,J9,$G$6:G9,G9,$C$6:C9,"League"))</f>
        <v/>
      </c>
      <c r="N9" s="31" t="str">
        <f t="shared" si="1"/>
        <v/>
      </c>
      <c r="O9" s="37" t="str">
        <f t="shared" si="2"/>
        <v/>
      </c>
    </row>
    <row r="10" spans="1:15" ht="15">
      <c r="A10" s="30">
        <v>2</v>
      </c>
      <c r="B10" s="31" t="s">
        <v>470</v>
      </c>
      <c r="C10" s="31" t="s">
        <v>473</v>
      </c>
      <c r="D10" s="31" t="s">
        <v>471</v>
      </c>
      <c r="E10" s="31" t="s">
        <v>475</v>
      </c>
      <c r="F10" s="31" t="str">
        <f>IF(H10=1,INDEX('Match Results'!$G$6:$G$185,MATCH(A10,'Match Results'!$A$6:$A$185,0)),INDEX('Match Results'!$H$6:$H$185,MATCH(A10,'Match Results'!$A$6:$A$185,0)))</f>
        <v>A3</v>
      </c>
      <c r="G10" s="31" t="str">
        <f>IF(H10=1,INDEX('Match Results'!$H$6:$H$185,MATCH(A10,'Match Results'!$A$6:$A$185,0)),INDEX('Match Results'!$G$6:$G$185,MATCH(A10,'Match Results'!$A$6:$A$185,0)))</f>
        <v>A4</v>
      </c>
      <c r="H10" s="31">
        <v>1</v>
      </c>
      <c r="I10" s="31">
        <v>1</v>
      </c>
      <c r="J10" s="32"/>
      <c r="K10" s="31" t="str">
        <f>IF(J10="","",IFERROR(INDEX('Team Rosters'!$C$6:$C$205,MATCH(J10,'Team Rosters'!$B$6:$B$205,0)),"CODE NOT FOUND"))</f>
        <v/>
      </c>
      <c r="L10" s="31" t="str">
        <f t="shared" si="0"/>
        <v/>
      </c>
      <c r="M10" s="31" t="str">
        <f>IF(OR(J10="",C10&lt;&gt;"League",L10&lt;&gt;"VALID"),"",COUNTIFS($J$6:J10,J10,$G$6:G10,G10,$C$6:C10,"League"))</f>
        <v/>
      </c>
      <c r="N10" s="31" t="str">
        <f t="shared" si="1"/>
        <v/>
      </c>
      <c r="O10" s="37"/>
    </row>
    <row r="11" spans="1:15" ht="15">
      <c r="A11" s="30">
        <v>2</v>
      </c>
      <c r="B11" s="31" t="s">
        <v>470</v>
      </c>
      <c r="C11" s="31" t="s">
        <v>473</v>
      </c>
      <c r="D11" s="31" t="s">
        <v>471</v>
      </c>
      <c r="E11" s="31" t="s">
        <v>475</v>
      </c>
      <c r="F11" s="31" t="str">
        <f>IF(H11=1,INDEX('Match Results'!$G$6:$G$185,MATCH(A11,'Match Results'!$A$6:$A$185,0)),INDEX('Match Results'!$H$6:$H$185,MATCH(A11,'Match Results'!$A$6:$A$185,0)))</f>
        <v>A3</v>
      </c>
      <c r="G11" s="31" t="str">
        <f>IF(H11=1,INDEX('Match Results'!$H$6:$H$185,MATCH(A11,'Match Results'!$A$6:$A$185,0)),INDEX('Match Results'!$G$6:$G$185,MATCH(A11,'Match Results'!$A$6:$A$185,0)))</f>
        <v>A4</v>
      </c>
      <c r="H11" s="31">
        <v>1</v>
      </c>
      <c r="I11" s="31">
        <v>2</v>
      </c>
      <c r="J11" s="32"/>
      <c r="K11" s="31" t="str">
        <f>IF(J11="","",IFERROR(INDEX('Team Rosters'!$C$6:$C$205,MATCH(J11,'Team Rosters'!$B$6:$B$205,0)),"CODE NOT FOUND"))</f>
        <v/>
      </c>
      <c r="L11" s="31" t="str">
        <f t="shared" si="0"/>
        <v/>
      </c>
      <c r="M11" s="31" t="str">
        <f>IF(OR(J11="",C11&lt;&gt;"League",L11&lt;&gt;"VALID"),"",COUNTIFS($J$6:J11,J11,$G$6:G11,G11,$C$6:C11,"League"))</f>
        <v/>
      </c>
      <c r="N11" s="31" t="str">
        <f t="shared" si="1"/>
        <v/>
      </c>
      <c r="O11" s="37" t="str">
        <f t="shared" si="2"/>
        <v/>
      </c>
    </row>
    <row r="12" spans="1:15" ht="15">
      <c r="A12" s="30">
        <v>2</v>
      </c>
      <c r="B12" s="31" t="s">
        <v>470</v>
      </c>
      <c r="C12" s="31" t="s">
        <v>473</v>
      </c>
      <c r="D12" s="31" t="s">
        <v>471</v>
      </c>
      <c r="E12" s="31" t="s">
        <v>475</v>
      </c>
      <c r="F12" s="31" t="str">
        <f>IF(H12=1,INDEX('Match Results'!$G$6:$G$185,MATCH(A12,'Match Results'!$A$6:$A$185,0)),INDEX('Match Results'!$H$6:$H$185,MATCH(A12,'Match Results'!$A$6:$A$185,0)))</f>
        <v>A4</v>
      </c>
      <c r="G12" s="31" t="str">
        <f>IF(H12=1,INDEX('Match Results'!$H$6:$H$185,MATCH(A12,'Match Results'!$A$6:$A$185,0)),INDEX('Match Results'!$G$6:$G$185,MATCH(A12,'Match Results'!$A$6:$A$185,0)))</f>
        <v>A3</v>
      </c>
      <c r="H12" s="31">
        <v>2</v>
      </c>
      <c r="I12" s="31">
        <v>3</v>
      </c>
      <c r="J12" s="48"/>
      <c r="K12" s="31" t="str">
        <f>IF(J12="","",IFERROR(INDEX('Team Rosters'!$C$6:$C$205,MATCH(J12,'Team Rosters'!$B$6:$B$205,0)),"CODE NOT FOUND"))</f>
        <v/>
      </c>
      <c r="L12" s="31" t="str">
        <f t="shared" si="0"/>
        <v/>
      </c>
      <c r="M12" s="31" t="str">
        <f>IF(OR(J12="",C12&lt;&gt;"League",L12&lt;&gt;"VALID"),"",COUNTIFS($J$6:J12,J12,$G$6:G12,G12,$C$6:C12,"League"))</f>
        <v/>
      </c>
      <c r="N12" s="31" t="str">
        <f t="shared" si="1"/>
        <v/>
      </c>
      <c r="O12" s="37" t="str">
        <f t="shared" si="2"/>
        <v/>
      </c>
    </row>
    <row r="13" spans="1:15" ht="15">
      <c r="A13" s="30">
        <v>2</v>
      </c>
      <c r="B13" s="31" t="s">
        <v>470</v>
      </c>
      <c r="C13" s="31" t="s">
        <v>473</v>
      </c>
      <c r="D13" s="31" t="s">
        <v>471</v>
      </c>
      <c r="E13" s="31" t="s">
        <v>475</v>
      </c>
      <c r="F13" s="31" t="str">
        <f>IF(H13=1,INDEX('Match Results'!$G$6:$G$185,MATCH(A13,'Match Results'!$A$6:$A$185,0)),INDEX('Match Results'!$H$6:$H$185,MATCH(A13,'Match Results'!$A$6:$A$185,0)))</f>
        <v>A4</v>
      </c>
      <c r="G13" s="31" t="str">
        <f>IF(H13=1,INDEX('Match Results'!$H$6:$H$185,MATCH(A13,'Match Results'!$A$6:$A$185,0)),INDEX('Match Results'!$G$6:$G$185,MATCH(A13,'Match Results'!$A$6:$A$185,0)))</f>
        <v>A3</v>
      </c>
      <c r="H13" s="31">
        <v>2</v>
      </c>
      <c r="I13" s="31">
        <v>4</v>
      </c>
      <c r="J13" s="48"/>
      <c r="K13" s="31" t="str">
        <f>IF(J13="","",IFERROR(INDEX('Team Rosters'!$C$6:$C$205,MATCH(J13,'Team Rosters'!$B$6:$B$205,0)),"CODE NOT FOUND"))</f>
        <v/>
      </c>
      <c r="L13" s="31" t="str">
        <f t="shared" si="0"/>
        <v/>
      </c>
      <c r="M13" s="31" t="str">
        <f>IF(OR(J13="",C13&lt;&gt;"League",L13&lt;&gt;"VALID"),"",COUNTIFS($J$6:J13,J13,$G$6:G13,G13,$C$6:C13,"League"))</f>
        <v/>
      </c>
      <c r="N13" s="31" t="str">
        <f t="shared" si="1"/>
        <v/>
      </c>
      <c r="O13" s="37" t="str">
        <f t="shared" si="2"/>
        <v/>
      </c>
    </row>
    <row r="14" spans="1:15" ht="15">
      <c r="A14" s="30">
        <v>3</v>
      </c>
      <c r="B14" s="31" t="s">
        <v>470</v>
      </c>
      <c r="C14" s="31" t="s">
        <v>473</v>
      </c>
      <c r="D14" s="31" t="s">
        <v>471</v>
      </c>
      <c r="E14" s="31" t="s">
        <v>477</v>
      </c>
      <c r="F14" s="31" t="str">
        <f>IF(H14=1,INDEX('Match Results'!$G$6:$G$185,MATCH(A14,'Match Results'!$A$6:$A$185,0)),INDEX('Match Results'!$H$6:$H$185,MATCH(A14,'Match Results'!$A$6:$A$185,0)))</f>
        <v>B1</v>
      </c>
      <c r="G14" s="31" t="str">
        <f>IF(H14=1,INDEX('Match Results'!$H$6:$H$185,MATCH(A14,'Match Results'!$A$6:$A$185,0)),INDEX('Match Results'!$G$6:$G$185,MATCH(A14,'Match Results'!$A$6:$A$185,0)))</f>
        <v>B4</v>
      </c>
      <c r="H14" s="31">
        <v>1</v>
      </c>
      <c r="I14" s="31">
        <v>1</v>
      </c>
      <c r="J14" s="48"/>
      <c r="K14" s="31" t="str">
        <f>IF(J14="","",IFERROR(INDEX('Team Rosters'!$C$6:$C$205,MATCH(J14,'Team Rosters'!$B$6:$B$205,0)),"CODE NOT FOUND"))</f>
        <v/>
      </c>
      <c r="L14" s="31" t="str">
        <f t="shared" si="0"/>
        <v/>
      </c>
      <c r="M14" s="31" t="str">
        <f>IF(OR(J14="",C14&lt;&gt;"League",L14&lt;&gt;"VALID"),"",COUNTIFS($J$6:J14,J14,$G$6:G14,G14,$C$6:C14,"League"))</f>
        <v/>
      </c>
      <c r="N14" s="31" t="str">
        <f t="shared" si="1"/>
        <v/>
      </c>
      <c r="O14" s="37" t="str">
        <f t="shared" si="2"/>
        <v/>
      </c>
    </row>
    <row r="15" spans="1:15" ht="15">
      <c r="A15" s="30">
        <v>3</v>
      </c>
      <c r="B15" s="31" t="s">
        <v>470</v>
      </c>
      <c r="C15" s="31" t="s">
        <v>473</v>
      </c>
      <c r="D15" s="31" t="s">
        <v>471</v>
      </c>
      <c r="E15" s="31" t="s">
        <v>477</v>
      </c>
      <c r="F15" s="31" t="str">
        <f>IF(H15=1,INDEX('Match Results'!$G$6:$G$185,MATCH(A15,'Match Results'!$A$6:$A$185,0)),INDEX('Match Results'!$H$6:$H$185,MATCH(A15,'Match Results'!$A$6:$A$185,0)))</f>
        <v>B1</v>
      </c>
      <c r="G15" s="31" t="str">
        <f>IF(H15=1,INDEX('Match Results'!$H$6:$H$185,MATCH(A15,'Match Results'!$A$6:$A$185,0)),INDEX('Match Results'!$G$6:$G$185,MATCH(A15,'Match Results'!$A$6:$A$185,0)))</f>
        <v>B4</v>
      </c>
      <c r="H15" s="31">
        <v>1</v>
      </c>
      <c r="I15" s="31">
        <v>2</v>
      </c>
      <c r="J15" s="48"/>
      <c r="K15" s="31" t="str">
        <f>IF(J15="","",IFERROR(INDEX('Team Rosters'!$C$6:$C$205,MATCH(J15,'Team Rosters'!$B$6:$B$205,0)),"CODE NOT FOUND"))</f>
        <v/>
      </c>
      <c r="L15" s="31" t="str">
        <f t="shared" si="0"/>
        <v/>
      </c>
      <c r="M15" s="31" t="str">
        <f>IF(OR(J15="",C15&lt;&gt;"League",L15&lt;&gt;"VALID"),"",COUNTIFS($J$6:J15,J15,$G$6:G15,G15,$C$6:C15,"League"))</f>
        <v/>
      </c>
      <c r="N15" s="31" t="str">
        <f t="shared" si="1"/>
        <v/>
      </c>
      <c r="O15" s="37" t="str">
        <f t="shared" si="2"/>
        <v/>
      </c>
    </row>
    <row r="16" spans="1:15" ht="15">
      <c r="A16" s="30">
        <v>3</v>
      </c>
      <c r="B16" s="31" t="s">
        <v>470</v>
      </c>
      <c r="C16" s="31" t="s">
        <v>473</v>
      </c>
      <c r="D16" s="31" t="s">
        <v>471</v>
      </c>
      <c r="E16" s="31" t="s">
        <v>477</v>
      </c>
      <c r="F16" s="31" t="str">
        <f>IF(H16=1,INDEX('Match Results'!$G$6:$G$185,MATCH(A16,'Match Results'!$A$6:$A$185,0)),INDEX('Match Results'!$H$6:$H$185,MATCH(A16,'Match Results'!$A$6:$A$185,0)))</f>
        <v>B4</v>
      </c>
      <c r="G16" s="31" t="str">
        <f>IF(H16=1,INDEX('Match Results'!$H$6:$H$185,MATCH(A16,'Match Results'!$A$6:$A$185,0)),INDEX('Match Results'!$G$6:$G$185,MATCH(A16,'Match Results'!$A$6:$A$185,0)))</f>
        <v>B1</v>
      </c>
      <c r="H16" s="31">
        <v>2</v>
      </c>
      <c r="I16" s="31">
        <v>3</v>
      </c>
      <c r="J16" s="48"/>
      <c r="K16" s="31" t="str">
        <f>IF(J16="","",IFERROR(INDEX('Team Rosters'!$C$6:$C$205,MATCH(J16,'Team Rosters'!$B$6:$B$205,0)),"CODE NOT FOUND"))</f>
        <v/>
      </c>
      <c r="L16" s="31" t="str">
        <f t="shared" si="0"/>
        <v/>
      </c>
      <c r="M16" s="31" t="str">
        <f>IF(OR(J16="",C16&lt;&gt;"League",L16&lt;&gt;"VALID"),"",COUNTIFS($J$6:J16,J16,$G$6:G16,G16,$C$6:C16,"League"))</f>
        <v/>
      </c>
      <c r="N16" s="31" t="str">
        <f t="shared" si="1"/>
        <v/>
      </c>
      <c r="O16" s="37" t="str">
        <f t="shared" si="2"/>
        <v/>
      </c>
    </row>
    <row r="17" spans="1:15" ht="15">
      <c r="A17" s="30">
        <v>3</v>
      </c>
      <c r="B17" s="31" t="s">
        <v>470</v>
      </c>
      <c r="C17" s="31" t="s">
        <v>473</v>
      </c>
      <c r="D17" s="31" t="s">
        <v>471</v>
      </c>
      <c r="E17" s="31" t="s">
        <v>477</v>
      </c>
      <c r="F17" s="31" t="str">
        <f>IF(H17=1,INDEX('Match Results'!$G$6:$G$185,MATCH(A17,'Match Results'!$A$6:$A$185,0)),INDEX('Match Results'!$H$6:$H$185,MATCH(A17,'Match Results'!$A$6:$A$185,0)))</f>
        <v>B4</v>
      </c>
      <c r="G17" s="31" t="str">
        <f>IF(H17=1,INDEX('Match Results'!$H$6:$H$185,MATCH(A17,'Match Results'!$A$6:$A$185,0)),INDEX('Match Results'!$G$6:$G$185,MATCH(A17,'Match Results'!$A$6:$A$185,0)))</f>
        <v>B1</v>
      </c>
      <c r="H17" s="31">
        <v>2</v>
      </c>
      <c r="I17" s="31">
        <v>4</v>
      </c>
      <c r="J17" s="32"/>
      <c r="K17" s="31" t="str">
        <f>IF(J17="","",IFERROR(INDEX('Team Rosters'!$C$6:$C$205,MATCH(J17,'Team Rosters'!$B$6:$B$205,0)),"CODE NOT FOUND"))</f>
        <v/>
      </c>
      <c r="L17" s="31" t="str">
        <f t="shared" si="0"/>
        <v/>
      </c>
      <c r="M17" s="31" t="str">
        <f>IF(OR(J17="",C17&lt;&gt;"League",L17&lt;&gt;"VALID"),"",COUNTIFS($J$6:J17,J17,$G$6:G17,G17,$C$6:C17,"League"))</f>
        <v/>
      </c>
      <c r="N17" s="31" t="str">
        <f t="shared" si="1"/>
        <v/>
      </c>
      <c r="O17" s="37" t="str">
        <f t="shared" si="2"/>
        <v/>
      </c>
    </row>
    <row r="18" spans="1:15" ht="15">
      <c r="A18" s="30">
        <v>4</v>
      </c>
      <c r="B18" s="31" t="s">
        <v>470</v>
      </c>
      <c r="C18" s="31" t="s">
        <v>473</v>
      </c>
      <c r="D18" s="31" t="s">
        <v>479</v>
      </c>
      <c r="E18" s="31" t="s">
        <v>475</v>
      </c>
      <c r="F18" s="31" t="str">
        <f>IF(H18=1,INDEX('Match Results'!$G$6:$G$185,MATCH(A18,'Match Results'!$A$6:$A$185,0)),INDEX('Match Results'!$H$6:$H$185,MATCH(A18,'Match Results'!$A$6:$A$185,0)))</f>
        <v>A1</v>
      </c>
      <c r="G18" s="31" t="str">
        <f>IF(H18=1,INDEX('Match Results'!$H$6:$H$185,MATCH(A18,'Match Results'!$A$6:$A$185,0)),INDEX('Match Results'!$G$6:$G$185,MATCH(A18,'Match Results'!$A$6:$A$185,0)))</f>
        <v>A4</v>
      </c>
      <c r="H18" s="31">
        <v>1</v>
      </c>
      <c r="I18" s="31">
        <v>1</v>
      </c>
      <c r="J18" s="32"/>
      <c r="K18" s="31" t="str">
        <f>IF(J18="","",IFERROR(INDEX('Team Rosters'!$C$6:$C$205,MATCH(J18,'Team Rosters'!$B$6:$B$205,0)),"CODE NOT FOUND"))</f>
        <v/>
      </c>
      <c r="L18" s="31" t="str">
        <f t="shared" si="0"/>
        <v/>
      </c>
      <c r="M18" s="31" t="str">
        <f>IF(OR(J18="",C18&lt;&gt;"League",L18&lt;&gt;"VALID"),"",COUNTIFS($J$6:J18,J18,$G$6:G18,G18,$C$6:C18,"League"))</f>
        <v/>
      </c>
      <c r="N18" s="31" t="str">
        <f t="shared" si="1"/>
        <v/>
      </c>
      <c r="O18" s="37" t="str">
        <f t="shared" si="2"/>
        <v/>
      </c>
    </row>
    <row r="19" spans="1:15" ht="15">
      <c r="A19" s="30">
        <v>4</v>
      </c>
      <c r="B19" s="31" t="s">
        <v>470</v>
      </c>
      <c r="C19" s="31" t="s">
        <v>473</v>
      </c>
      <c r="D19" s="31" t="s">
        <v>479</v>
      </c>
      <c r="E19" s="31" t="s">
        <v>475</v>
      </c>
      <c r="F19" s="31" t="str">
        <f>IF(H19=1,INDEX('Match Results'!$G$6:$G$185,MATCH(A19,'Match Results'!$A$6:$A$185,0)),INDEX('Match Results'!$H$6:$H$185,MATCH(A19,'Match Results'!$A$6:$A$185,0)))</f>
        <v>A1</v>
      </c>
      <c r="G19" s="31" t="str">
        <f>IF(H19=1,INDEX('Match Results'!$H$6:$H$185,MATCH(A19,'Match Results'!$A$6:$A$185,0)),INDEX('Match Results'!$G$6:$G$185,MATCH(A19,'Match Results'!$A$6:$A$185,0)))</f>
        <v>A4</v>
      </c>
      <c r="H19" s="31">
        <v>1</v>
      </c>
      <c r="I19" s="31">
        <v>2</v>
      </c>
      <c r="J19" s="32"/>
      <c r="K19" s="31" t="str">
        <f>IF(J19="","",IFERROR(INDEX('Team Rosters'!$C$6:$C$205,MATCH(J19,'Team Rosters'!$B$6:$B$205,0)),"CODE NOT FOUND"))</f>
        <v/>
      </c>
      <c r="L19" s="31" t="str">
        <f t="shared" si="0"/>
        <v/>
      </c>
      <c r="M19" s="31" t="str">
        <f>IF(OR(J19="",C19&lt;&gt;"League",L19&lt;&gt;"VALID"),"",COUNTIFS($J$6:J19,J19,$G$6:G19,G19,$C$6:C19,"League"))</f>
        <v/>
      </c>
      <c r="N19" s="31" t="str">
        <f t="shared" si="1"/>
        <v/>
      </c>
      <c r="O19" s="37" t="str">
        <f t="shared" si="2"/>
        <v/>
      </c>
    </row>
    <row r="20" spans="1:15" ht="15">
      <c r="A20" s="30">
        <v>4</v>
      </c>
      <c r="B20" s="31" t="s">
        <v>470</v>
      </c>
      <c r="C20" s="31" t="s">
        <v>473</v>
      </c>
      <c r="D20" s="31" t="s">
        <v>479</v>
      </c>
      <c r="E20" s="31" t="s">
        <v>475</v>
      </c>
      <c r="F20" s="31" t="str">
        <f>IF(H20=1,INDEX('Match Results'!$G$6:$G$185,MATCH(A20,'Match Results'!$A$6:$A$185,0)),INDEX('Match Results'!$H$6:$H$185,MATCH(A20,'Match Results'!$A$6:$A$185,0)))</f>
        <v>A4</v>
      </c>
      <c r="G20" s="31" t="str">
        <f>IF(H20=1,INDEX('Match Results'!$H$6:$H$185,MATCH(A20,'Match Results'!$A$6:$A$185,0)),INDEX('Match Results'!$G$6:$G$185,MATCH(A20,'Match Results'!$A$6:$A$185,0)))</f>
        <v>A1</v>
      </c>
      <c r="H20" s="31">
        <v>2</v>
      </c>
      <c r="I20" s="31">
        <v>3</v>
      </c>
      <c r="J20" s="49"/>
      <c r="K20" s="31" t="str">
        <f>IF(J20="","",IFERROR(INDEX('Team Rosters'!$C$6:$C$205,MATCH(J20,'Team Rosters'!$B$6:$B$205,0)),"CODE NOT FOUND"))</f>
        <v/>
      </c>
      <c r="L20" s="31" t="str">
        <f t="shared" si="0"/>
        <v/>
      </c>
      <c r="M20" s="31" t="str">
        <f>IF(OR(J20="",C20&lt;&gt;"League",L20&lt;&gt;"VALID"),"",COUNTIFS($J$6:J20,J20,$G$6:G20,G20,$C$6:C20,"League"))</f>
        <v/>
      </c>
      <c r="N20" s="31" t="str">
        <f t="shared" si="1"/>
        <v/>
      </c>
      <c r="O20" s="37" t="str">
        <f t="shared" si="2"/>
        <v/>
      </c>
    </row>
    <row r="21" spans="1:15" ht="15">
      <c r="A21" s="30">
        <v>4</v>
      </c>
      <c r="B21" s="31" t="s">
        <v>470</v>
      </c>
      <c r="C21" s="31" t="s">
        <v>473</v>
      </c>
      <c r="D21" s="31" t="s">
        <v>479</v>
      </c>
      <c r="E21" s="31" t="s">
        <v>475</v>
      </c>
      <c r="F21" s="31" t="str">
        <f>IF(H21=1,INDEX('Match Results'!$G$6:$G$185,MATCH(A21,'Match Results'!$A$6:$A$185,0)),INDEX('Match Results'!$H$6:$H$185,MATCH(A21,'Match Results'!$A$6:$A$185,0)))</f>
        <v>A4</v>
      </c>
      <c r="G21" s="31" t="str">
        <f>IF(H21=1,INDEX('Match Results'!$H$6:$H$185,MATCH(A21,'Match Results'!$A$6:$A$185,0)),INDEX('Match Results'!$G$6:$G$185,MATCH(A21,'Match Results'!$A$6:$A$185,0)))</f>
        <v>A1</v>
      </c>
      <c r="H21" s="31">
        <v>2</v>
      </c>
      <c r="I21" s="31">
        <v>4</v>
      </c>
      <c r="J21" s="49"/>
      <c r="K21" s="31" t="str">
        <f>IF(J21="","",IFERROR(INDEX('Team Rosters'!$C$6:$C$205,MATCH(J21,'Team Rosters'!$B$6:$B$205,0)),"CODE NOT FOUND"))</f>
        <v/>
      </c>
      <c r="L21" s="31" t="str">
        <f t="shared" si="0"/>
        <v/>
      </c>
      <c r="M21" s="31" t="str">
        <f>IF(OR(J21="",C21&lt;&gt;"League",L21&lt;&gt;"VALID"),"",COUNTIFS($J$6:J21,J21,$G$6:G21,G21,$C$6:C21,"League"))</f>
        <v/>
      </c>
      <c r="N21" s="31" t="str">
        <f t="shared" si="1"/>
        <v/>
      </c>
      <c r="O21" s="37" t="str">
        <f t="shared" si="2"/>
        <v/>
      </c>
    </row>
    <row r="22" spans="1:15" ht="15">
      <c r="A22" s="30">
        <v>5</v>
      </c>
      <c r="B22" s="31" t="s">
        <v>470</v>
      </c>
      <c r="C22" s="31" t="s">
        <v>473</v>
      </c>
      <c r="D22" s="31" t="s">
        <v>479</v>
      </c>
      <c r="E22" s="31" t="s">
        <v>477</v>
      </c>
      <c r="F22" s="31" t="str">
        <f>IF(H22=1,INDEX('Match Results'!$G$6:$G$185,MATCH(A22,'Match Results'!$A$6:$A$185,0)),INDEX('Match Results'!$H$6:$H$185,MATCH(A22,'Match Results'!$A$6:$A$185,0)))</f>
        <v>A2</v>
      </c>
      <c r="G22" s="31" t="str">
        <f>IF(H22=1,INDEX('Match Results'!$H$6:$H$185,MATCH(A22,'Match Results'!$A$6:$A$185,0)),INDEX('Match Results'!$G$6:$G$185,MATCH(A22,'Match Results'!$A$6:$A$185,0)))</f>
        <v>A3</v>
      </c>
      <c r="H22" s="31">
        <v>1</v>
      </c>
      <c r="I22" s="31">
        <v>1</v>
      </c>
      <c r="J22" s="32"/>
      <c r="K22" s="31" t="str">
        <f>IF(J22="","",IFERROR(INDEX('Team Rosters'!$C$6:$C$205,MATCH(J22,'Team Rosters'!$B$6:$B$205,0)),"CODE NOT FOUND"))</f>
        <v/>
      </c>
      <c r="L22" s="31" t="str">
        <f t="shared" si="0"/>
        <v/>
      </c>
      <c r="M22" s="31" t="str">
        <f>IF(OR(J22="",C22&lt;&gt;"League",L22&lt;&gt;"VALID"),"",COUNTIFS($J$6:J22,J22,$G$6:G22,G22,$C$6:C22,"League"))</f>
        <v/>
      </c>
      <c r="N22" s="31" t="str">
        <f t="shared" si="1"/>
        <v/>
      </c>
      <c r="O22" s="37" t="str">
        <f t="shared" si="2"/>
        <v/>
      </c>
    </row>
    <row r="23" spans="1:15" ht="15">
      <c r="A23" s="30">
        <v>5</v>
      </c>
      <c r="B23" s="31" t="s">
        <v>470</v>
      </c>
      <c r="C23" s="31" t="s">
        <v>473</v>
      </c>
      <c r="D23" s="31" t="s">
        <v>479</v>
      </c>
      <c r="E23" s="31" t="s">
        <v>477</v>
      </c>
      <c r="F23" s="31" t="str">
        <f>IF(H23=1,INDEX('Match Results'!$G$6:$G$185,MATCH(A23,'Match Results'!$A$6:$A$185,0)),INDEX('Match Results'!$H$6:$H$185,MATCH(A23,'Match Results'!$A$6:$A$185,0)))</f>
        <v>A2</v>
      </c>
      <c r="G23" s="31" t="str">
        <f>IF(H23=1,INDEX('Match Results'!$H$6:$H$185,MATCH(A23,'Match Results'!$A$6:$A$185,0)),INDEX('Match Results'!$G$6:$G$185,MATCH(A23,'Match Results'!$A$6:$A$185,0)))</f>
        <v>A3</v>
      </c>
      <c r="H23" s="31">
        <v>1</v>
      </c>
      <c r="I23" s="31">
        <v>2</v>
      </c>
      <c r="J23" s="32"/>
      <c r="K23" s="31" t="str">
        <f>IF(J23="","",IFERROR(INDEX('Team Rosters'!$C$6:$C$205,MATCH(J23,'Team Rosters'!$B$6:$B$205,0)),"CODE NOT FOUND"))</f>
        <v/>
      </c>
      <c r="L23" s="31" t="str">
        <f t="shared" si="0"/>
        <v/>
      </c>
      <c r="M23" s="31" t="str">
        <f>IF(OR(J23="",C23&lt;&gt;"League",L23&lt;&gt;"VALID"),"",COUNTIFS($J$6:J23,J23,$G$6:G23,G23,$C$6:C23,"League"))</f>
        <v/>
      </c>
      <c r="N23" s="31" t="str">
        <f t="shared" si="1"/>
        <v/>
      </c>
      <c r="O23" s="37" t="str">
        <f t="shared" si="2"/>
        <v/>
      </c>
    </row>
    <row r="24" spans="1:15" ht="15">
      <c r="A24" s="30">
        <v>5</v>
      </c>
      <c r="B24" s="31" t="s">
        <v>470</v>
      </c>
      <c r="C24" s="31" t="s">
        <v>473</v>
      </c>
      <c r="D24" s="31" t="s">
        <v>479</v>
      </c>
      <c r="E24" s="31" t="s">
        <v>477</v>
      </c>
      <c r="F24" s="31" t="str">
        <f>IF(H24=1,INDEX('Match Results'!$G$6:$G$185,MATCH(A24,'Match Results'!$A$6:$A$185,0)),INDEX('Match Results'!$H$6:$H$185,MATCH(A24,'Match Results'!$A$6:$A$185,0)))</f>
        <v>A3</v>
      </c>
      <c r="G24" s="31" t="str">
        <f>IF(H24=1,INDEX('Match Results'!$H$6:$H$185,MATCH(A24,'Match Results'!$A$6:$A$185,0)),INDEX('Match Results'!$G$6:$G$185,MATCH(A24,'Match Results'!$A$6:$A$185,0)))</f>
        <v>A2</v>
      </c>
      <c r="H24" s="31">
        <v>2</v>
      </c>
      <c r="I24" s="31">
        <v>3</v>
      </c>
      <c r="J24" s="32"/>
      <c r="K24" s="31" t="str">
        <f>IF(J24="","",IFERROR(INDEX('Team Rosters'!$C$6:$C$205,MATCH(J24,'Team Rosters'!$B$6:$B$205,0)),"CODE NOT FOUND"))</f>
        <v/>
      </c>
      <c r="L24" s="31" t="str">
        <f t="shared" si="0"/>
        <v/>
      </c>
      <c r="M24" s="31" t="str">
        <f>IF(OR(J24="",C24&lt;&gt;"League",L24&lt;&gt;"VALID"),"",COUNTIFS($J$6:J24,J24,$G$6:G24,G24,$C$6:C24,"League"))</f>
        <v/>
      </c>
      <c r="N24" s="31" t="str">
        <f t="shared" si="1"/>
        <v/>
      </c>
      <c r="O24" s="37" t="str">
        <f t="shared" si="2"/>
        <v/>
      </c>
    </row>
    <row r="25" spans="1:15" ht="15">
      <c r="A25" s="30">
        <v>5</v>
      </c>
      <c r="B25" s="31" t="s">
        <v>470</v>
      </c>
      <c r="C25" s="31" t="s">
        <v>473</v>
      </c>
      <c r="D25" s="31" t="s">
        <v>479</v>
      </c>
      <c r="E25" s="31" t="s">
        <v>477</v>
      </c>
      <c r="F25" s="31" t="str">
        <f>IF(H25=1,INDEX('Match Results'!$G$6:$G$185,MATCH(A25,'Match Results'!$A$6:$A$185,0)),INDEX('Match Results'!$H$6:$H$185,MATCH(A25,'Match Results'!$A$6:$A$185,0)))</f>
        <v>A3</v>
      </c>
      <c r="G25" s="31" t="str">
        <f>IF(H25=1,INDEX('Match Results'!$H$6:$H$185,MATCH(A25,'Match Results'!$A$6:$A$185,0)),INDEX('Match Results'!$G$6:$G$185,MATCH(A25,'Match Results'!$A$6:$A$185,0)))</f>
        <v>A2</v>
      </c>
      <c r="H25" s="31">
        <v>2</v>
      </c>
      <c r="I25" s="31">
        <v>4</v>
      </c>
      <c r="J25" s="32"/>
      <c r="K25" s="31" t="str">
        <f>IF(J25="","",IFERROR(INDEX('Team Rosters'!$C$6:$C$205,MATCH(J25,'Team Rosters'!$B$6:$B$205,0)),"CODE NOT FOUND"))</f>
        <v/>
      </c>
      <c r="L25" s="31" t="str">
        <f t="shared" si="0"/>
        <v/>
      </c>
      <c r="M25" s="31" t="str">
        <f>IF(OR(J25="",C25&lt;&gt;"League",L25&lt;&gt;"VALID"),"",COUNTIFS($J$6:J25,J25,$G$6:G25,G25,$C$6:C25,"League"))</f>
        <v/>
      </c>
      <c r="N25" s="31" t="str">
        <f t="shared" si="1"/>
        <v/>
      </c>
      <c r="O25" s="37" t="str">
        <f t="shared" si="2"/>
        <v/>
      </c>
    </row>
    <row r="26" spans="1:15" ht="15">
      <c r="A26" s="30">
        <v>6</v>
      </c>
      <c r="B26" s="31" t="s">
        <v>470</v>
      </c>
      <c r="C26" s="31" t="s">
        <v>473</v>
      </c>
      <c r="D26" s="31" t="s">
        <v>479</v>
      </c>
      <c r="E26" s="31" t="s">
        <v>472</v>
      </c>
      <c r="F26" s="31" t="str">
        <f>IF(H26=1,INDEX('Match Results'!$G$6:$G$185,MATCH(A26,'Match Results'!$A$6:$A$185,0)),INDEX('Match Results'!$H$6:$H$185,MATCH(A26,'Match Results'!$A$6:$A$185,0)))</f>
        <v>B2</v>
      </c>
      <c r="G26" s="31" t="str">
        <f>IF(H26=1,INDEX('Match Results'!$H$6:$H$185,MATCH(A26,'Match Results'!$A$6:$A$185,0)),INDEX('Match Results'!$G$6:$G$185,MATCH(A26,'Match Results'!$A$6:$A$185,0)))</f>
        <v>B3</v>
      </c>
      <c r="H26" s="31">
        <v>1</v>
      </c>
      <c r="I26" s="31">
        <v>1</v>
      </c>
      <c r="J26" s="32"/>
      <c r="K26" s="31" t="str">
        <f>IF(J26="","",IFERROR(INDEX('Team Rosters'!$C$6:$C$205,MATCH(J26,'Team Rosters'!$B$6:$B$205,0)),"CODE NOT FOUND"))</f>
        <v/>
      </c>
      <c r="L26" s="31" t="str">
        <f t="shared" si="0"/>
        <v/>
      </c>
      <c r="M26" s="31" t="str">
        <f>IF(OR(J26="",C26&lt;&gt;"League",L26&lt;&gt;"VALID"),"",COUNTIFS($J$6:J26,J26,$G$6:G26,G26,$C$6:C26,"League"))</f>
        <v/>
      </c>
      <c r="N26" s="31" t="str">
        <f t="shared" si="1"/>
        <v/>
      </c>
      <c r="O26" s="37" t="str">
        <f t="shared" si="2"/>
        <v/>
      </c>
    </row>
    <row r="27" spans="1:15" ht="15">
      <c r="A27" s="30">
        <v>6</v>
      </c>
      <c r="B27" s="31" t="s">
        <v>470</v>
      </c>
      <c r="C27" s="31" t="s">
        <v>473</v>
      </c>
      <c r="D27" s="31" t="s">
        <v>479</v>
      </c>
      <c r="E27" s="31" t="s">
        <v>472</v>
      </c>
      <c r="F27" s="31" t="str">
        <f>IF(H27=1,INDEX('Match Results'!$G$6:$G$185,MATCH(A27,'Match Results'!$A$6:$A$185,0)),INDEX('Match Results'!$H$6:$H$185,MATCH(A27,'Match Results'!$A$6:$A$185,0)))</f>
        <v>B2</v>
      </c>
      <c r="G27" s="31" t="str">
        <f>IF(H27=1,INDEX('Match Results'!$H$6:$H$185,MATCH(A27,'Match Results'!$A$6:$A$185,0)),INDEX('Match Results'!$G$6:$G$185,MATCH(A27,'Match Results'!$A$6:$A$185,0)))</f>
        <v>B3</v>
      </c>
      <c r="H27" s="31">
        <v>1</v>
      </c>
      <c r="I27" s="31">
        <v>2</v>
      </c>
      <c r="J27" s="32"/>
      <c r="K27" s="31" t="str">
        <f>IF(J27="","",IFERROR(INDEX('Team Rosters'!$C$6:$C$205,MATCH(J27,'Team Rosters'!$B$6:$B$205,0)),"CODE NOT FOUND"))</f>
        <v/>
      </c>
      <c r="L27" s="31" t="str">
        <f t="shared" si="0"/>
        <v/>
      </c>
      <c r="M27" s="31" t="str">
        <f>IF(OR(J27="",C27&lt;&gt;"League",L27&lt;&gt;"VALID"),"",COUNTIFS($J$6:J27,J27,$G$6:G27,G27,$C$6:C27,"League"))</f>
        <v/>
      </c>
      <c r="N27" s="31" t="str">
        <f t="shared" si="1"/>
        <v/>
      </c>
      <c r="O27" s="37" t="str">
        <f t="shared" si="2"/>
        <v/>
      </c>
    </row>
    <row r="28" spans="1:15" ht="15">
      <c r="A28" s="30">
        <v>6</v>
      </c>
      <c r="B28" s="31" t="s">
        <v>470</v>
      </c>
      <c r="C28" s="31" t="s">
        <v>473</v>
      </c>
      <c r="D28" s="31" t="s">
        <v>479</v>
      </c>
      <c r="E28" s="31" t="s">
        <v>472</v>
      </c>
      <c r="F28" s="31" t="str">
        <f>IF(H28=1,INDEX('Match Results'!$G$6:$G$185,MATCH(A28,'Match Results'!$A$6:$A$185,0)),INDEX('Match Results'!$H$6:$H$185,MATCH(A28,'Match Results'!$A$6:$A$185,0)))</f>
        <v>B3</v>
      </c>
      <c r="G28" s="31" t="str">
        <f>IF(H28=1,INDEX('Match Results'!$H$6:$H$185,MATCH(A28,'Match Results'!$A$6:$A$185,0)),INDEX('Match Results'!$G$6:$G$185,MATCH(A28,'Match Results'!$A$6:$A$185,0)))</f>
        <v>B2</v>
      </c>
      <c r="H28" s="31">
        <v>2</v>
      </c>
      <c r="I28" s="31">
        <v>3</v>
      </c>
      <c r="J28" s="32"/>
      <c r="K28" s="31" t="str">
        <f>IF(J28="","",IFERROR(INDEX('Team Rosters'!$C$6:$C$205,MATCH(J28,'Team Rosters'!$B$6:$B$205,0)),"CODE NOT FOUND"))</f>
        <v/>
      </c>
      <c r="L28" s="31" t="str">
        <f t="shared" si="0"/>
        <v/>
      </c>
      <c r="M28" s="31" t="str">
        <f>IF(OR(J28="",C28&lt;&gt;"League",L28&lt;&gt;"VALID"),"",COUNTIFS($J$6:J28,J28,$G$6:G28,G28,$C$6:C28,"League"))</f>
        <v/>
      </c>
      <c r="N28" s="31" t="str">
        <f t="shared" si="1"/>
        <v/>
      </c>
      <c r="O28" s="37" t="str">
        <f t="shared" si="2"/>
        <v/>
      </c>
    </row>
    <row r="29" spans="1:15" ht="15">
      <c r="A29" s="30">
        <v>6</v>
      </c>
      <c r="B29" s="31" t="s">
        <v>470</v>
      </c>
      <c r="C29" s="31" t="s">
        <v>473</v>
      </c>
      <c r="D29" s="31" t="s">
        <v>479</v>
      </c>
      <c r="E29" s="31" t="s">
        <v>472</v>
      </c>
      <c r="F29" s="31" t="str">
        <f>IF(H29=1,INDEX('Match Results'!$G$6:$G$185,MATCH(A29,'Match Results'!$A$6:$A$185,0)),INDEX('Match Results'!$H$6:$H$185,MATCH(A29,'Match Results'!$A$6:$A$185,0)))</f>
        <v>B3</v>
      </c>
      <c r="G29" s="31" t="str">
        <f>IF(H29=1,INDEX('Match Results'!$H$6:$H$185,MATCH(A29,'Match Results'!$A$6:$A$185,0)),INDEX('Match Results'!$G$6:$G$185,MATCH(A29,'Match Results'!$A$6:$A$185,0)))</f>
        <v>B2</v>
      </c>
      <c r="H29" s="31">
        <v>2</v>
      </c>
      <c r="I29" s="31">
        <v>4</v>
      </c>
      <c r="J29" s="32"/>
      <c r="K29" s="31" t="str">
        <f>IF(J29="","",IFERROR(INDEX('Team Rosters'!$C$6:$C$205,MATCH(J29,'Team Rosters'!$B$6:$B$205,0)),"CODE NOT FOUND"))</f>
        <v/>
      </c>
      <c r="L29" s="31" t="str">
        <f t="shared" si="0"/>
        <v/>
      </c>
      <c r="M29" s="31" t="str">
        <f>IF(OR(J29="",C29&lt;&gt;"League",L29&lt;&gt;"VALID"),"",COUNTIFS($J$6:J29,J29,$G$6:G29,G29,$C$6:C29,"League"))</f>
        <v/>
      </c>
      <c r="N29" s="31" t="str">
        <f t="shared" si="1"/>
        <v/>
      </c>
      <c r="O29" s="37" t="str">
        <f t="shared" si="2"/>
        <v/>
      </c>
    </row>
    <row r="30" spans="1:15" ht="15">
      <c r="A30" s="30">
        <v>7</v>
      </c>
      <c r="B30" s="31" t="s">
        <v>470</v>
      </c>
      <c r="C30" s="31" t="s">
        <v>473</v>
      </c>
      <c r="D30" s="31" t="s">
        <v>483</v>
      </c>
      <c r="E30" s="31" t="s">
        <v>472</v>
      </c>
      <c r="F30" s="31" t="str">
        <f>IF(H30=1,INDEX('Match Results'!$G$6:$G$185,MATCH(A30,'Match Results'!$A$6:$A$185,0)),INDEX('Match Results'!$H$6:$H$185,MATCH(A30,'Match Results'!$A$6:$A$185,0)))</f>
        <v>B1</v>
      </c>
      <c r="G30" s="31" t="str">
        <f>IF(H30=1,INDEX('Match Results'!$H$6:$H$185,MATCH(A30,'Match Results'!$A$6:$A$185,0)),INDEX('Match Results'!$G$6:$G$185,MATCH(A30,'Match Results'!$A$6:$A$185,0)))</f>
        <v>B2</v>
      </c>
      <c r="H30" s="31">
        <v>1</v>
      </c>
      <c r="I30" s="31">
        <v>1</v>
      </c>
      <c r="J30" s="32"/>
      <c r="K30" s="31" t="str">
        <f>IF(J30="","",IFERROR(INDEX('Team Rosters'!$C$6:$C$205,MATCH(J30,'Team Rosters'!$B$6:$B$205,0)),"CODE NOT FOUND"))</f>
        <v/>
      </c>
      <c r="L30" s="31" t="str">
        <f t="shared" si="0"/>
        <v/>
      </c>
      <c r="M30" s="31" t="str">
        <f>IF(OR(J30="",C30&lt;&gt;"League",L30&lt;&gt;"VALID"),"",COUNTIFS($J$6:J30,J30,$G$6:G30,G30,$C$6:C30,"League"))</f>
        <v/>
      </c>
      <c r="N30" s="31" t="str">
        <f t="shared" si="1"/>
        <v/>
      </c>
      <c r="O30" s="37" t="str">
        <f t="shared" si="2"/>
        <v/>
      </c>
    </row>
    <row r="31" spans="1:15" ht="15">
      <c r="A31" s="30">
        <v>7</v>
      </c>
      <c r="B31" s="31" t="s">
        <v>470</v>
      </c>
      <c r="C31" s="31" t="s">
        <v>473</v>
      </c>
      <c r="D31" s="31" t="s">
        <v>483</v>
      </c>
      <c r="E31" s="31" t="s">
        <v>472</v>
      </c>
      <c r="F31" s="31" t="str">
        <f>IF(H31=1,INDEX('Match Results'!$G$6:$G$185,MATCH(A31,'Match Results'!$A$6:$A$185,0)),INDEX('Match Results'!$H$6:$H$185,MATCH(A31,'Match Results'!$A$6:$A$185,0)))</f>
        <v>B1</v>
      </c>
      <c r="G31" s="31" t="str">
        <f>IF(H31=1,INDEX('Match Results'!$H$6:$H$185,MATCH(A31,'Match Results'!$A$6:$A$185,0)),INDEX('Match Results'!$G$6:$G$185,MATCH(A31,'Match Results'!$A$6:$A$185,0)))</f>
        <v>B2</v>
      </c>
      <c r="H31" s="31">
        <v>1</v>
      </c>
      <c r="I31" s="31">
        <v>2</v>
      </c>
      <c r="J31" s="32"/>
      <c r="K31" s="31" t="str">
        <f>IF(J31="","",IFERROR(INDEX('Team Rosters'!$C$6:$C$205,MATCH(J31,'Team Rosters'!$B$6:$B$205,0)),"CODE NOT FOUND"))</f>
        <v/>
      </c>
      <c r="L31" s="31" t="str">
        <f t="shared" si="0"/>
        <v/>
      </c>
      <c r="M31" s="31" t="str">
        <f>IF(OR(J31="",C31&lt;&gt;"League",L31&lt;&gt;"VALID"),"",COUNTIFS($J$6:J31,J31,$G$6:G31,G31,$C$6:C31,"League"))</f>
        <v/>
      </c>
      <c r="N31" s="31" t="str">
        <f t="shared" si="1"/>
        <v/>
      </c>
      <c r="O31" s="37" t="str">
        <f t="shared" si="2"/>
        <v/>
      </c>
    </row>
    <row r="32" spans="1:15" ht="15">
      <c r="A32" s="30">
        <v>7</v>
      </c>
      <c r="B32" s="31" t="s">
        <v>470</v>
      </c>
      <c r="C32" s="31" t="s">
        <v>473</v>
      </c>
      <c r="D32" s="31" t="s">
        <v>483</v>
      </c>
      <c r="E32" s="31" t="s">
        <v>472</v>
      </c>
      <c r="F32" s="31" t="str">
        <f>IF(H32=1,INDEX('Match Results'!$G$6:$G$185,MATCH(A32,'Match Results'!$A$6:$A$185,0)),INDEX('Match Results'!$H$6:$H$185,MATCH(A32,'Match Results'!$A$6:$A$185,0)))</f>
        <v>B2</v>
      </c>
      <c r="G32" s="31" t="str">
        <f>IF(H32=1,INDEX('Match Results'!$H$6:$H$185,MATCH(A32,'Match Results'!$A$6:$A$185,0)),INDEX('Match Results'!$G$6:$G$185,MATCH(A32,'Match Results'!$A$6:$A$185,0)))</f>
        <v>B1</v>
      </c>
      <c r="H32" s="31">
        <v>2</v>
      </c>
      <c r="I32" s="31">
        <v>3</v>
      </c>
      <c r="J32" s="32"/>
      <c r="K32" s="31" t="str">
        <f>IF(J32="","",IFERROR(INDEX('Team Rosters'!$C$6:$C$205,MATCH(J32,'Team Rosters'!$B$6:$B$205,0)),"CODE NOT FOUND"))</f>
        <v/>
      </c>
      <c r="L32" s="31" t="str">
        <f t="shared" si="0"/>
        <v/>
      </c>
      <c r="M32" s="31" t="str">
        <f>IF(OR(J32="",C32&lt;&gt;"League",L32&lt;&gt;"VALID"),"",COUNTIFS($J$6:J32,J32,$G$6:G32,G32,$C$6:C32,"League"))</f>
        <v/>
      </c>
      <c r="N32" s="31" t="str">
        <f t="shared" si="1"/>
        <v/>
      </c>
      <c r="O32" s="37" t="str">
        <f t="shared" si="2"/>
        <v/>
      </c>
    </row>
    <row r="33" spans="1:15" ht="15">
      <c r="A33" s="30">
        <v>7</v>
      </c>
      <c r="B33" s="31" t="s">
        <v>470</v>
      </c>
      <c r="C33" s="31" t="s">
        <v>473</v>
      </c>
      <c r="D33" s="31" t="s">
        <v>483</v>
      </c>
      <c r="E33" s="31" t="s">
        <v>472</v>
      </c>
      <c r="F33" s="31" t="str">
        <f>IF(H33=1,INDEX('Match Results'!$G$6:$G$185,MATCH(A33,'Match Results'!$A$6:$A$185,0)),INDEX('Match Results'!$H$6:$H$185,MATCH(A33,'Match Results'!$A$6:$A$185,0)))</f>
        <v>B2</v>
      </c>
      <c r="G33" s="31" t="str">
        <f>IF(H33=1,INDEX('Match Results'!$H$6:$H$185,MATCH(A33,'Match Results'!$A$6:$A$185,0)),INDEX('Match Results'!$G$6:$G$185,MATCH(A33,'Match Results'!$A$6:$A$185,0)))</f>
        <v>B1</v>
      </c>
      <c r="H33" s="31">
        <v>2</v>
      </c>
      <c r="I33" s="31">
        <v>4</v>
      </c>
      <c r="J33" s="32"/>
      <c r="K33" s="31" t="str">
        <f>IF(J33="","",IFERROR(INDEX('Team Rosters'!$C$6:$C$205,MATCH(J33,'Team Rosters'!$B$6:$B$205,0)),"CODE NOT FOUND"))</f>
        <v/>
      </c>
      <c r="L33" s="31" t="str">
        <f t="shared" si="0"/>
        <v/>
      </c>
      <c r="M33" s="31" t="str">
        <f>IF(OR(J33="",C33&lt;&gt;"League",L33&lt;&gt;"VALID"),"",COUNTIFS($J$6:J33,J33,$G$6:G33,G33,$C$6:C33,"League"))</f>
        <v/>
      </c>
      <c r="N33" s="31" t="str">
        <f t="shared" si="1"/>
        <v/>
      </c>
      <c r="O33" s="37" t="str">
        <f t="shared" si="2"/>
        <v/>
      </c>
    </row>
    <row r="34" spans="1:15" ht="15">
      <c r="A34" s="30">
        <v>8</v>
      </c>
      <c r="B34" s="31" t="s">
        <v>470</v>
      </c>
      <c r="C34" s="31" t="s">
        <v>473</v>
      </c>
      <c r="D34" s="31" t="s">
        <v>483</v>
      </c>
      <c r="E34" s="31" t="s">
        <v>477</v>
      </c>
      <c r="F34" s="31" t="str">
        <f>IF(H34=1,INDEX('Match Results'!$G$6:$G$185,MATCH(A34,'Match Results'!$A$6:$A$185,0)),INDEX('Match Results'!$H$6:$H$185,MATCH(A34,'Match Results'!$A$6:$A$185,0)))</f>
        <v>B3</v>
      </c>
      <c r="G34" s="31" t="str">
        <f>IF(H34=1,INDEX('Match Results'!$H$6:$H$185,MATCH(A34,'Match Results'!$A$6:$A$185,0)),INDEX('Match Results'!$G$6:$G$185,MATCH(A34,'Match Results'!$A$6:$A$185,0)))</f>
        <v>B4</v>
      </c>
      <c r="H34" s="31">
        <v>1</v>
      </c>
      <c r="I34" s="31">
        <v>1</v>
      </c>
      <c r="J34" s="32"/>
      <c r="K34" s="31" t="str">
        <f>IF(J34="","",IFERROR(INDEX('Team Rosters'!$C$6:$C$205,MATCH(J34,'Team Rosters'!$B$6:$B$205,0)),"CODE NOT FOUND"))</f>
        <v/>
      </c>
      <c r="L34" s="31" t="str">
        <f t="shared" si="0"/>
        <v/>
      </c>
      <c r="M34" s="31" t="str">
        <f>IF(OR(J34="",C34&lt;&gt;"League",L34&lt;&gt;"VALID"),"",COUNTIFS($J$6:J34,J34,$G$6:G34,G34,$C$6:C34,"League"))</f>
        <v/>
      </c>
      <c r="N34" s="31" t="str">
        <f t="shared" si="1"/>
        <v/>
      </c>
      <c r="O34" s="37" t="str">
        <f t="shared" si="2"/>
        <v/>
      </c>
    </row>
    <row r="35" spans="1:15" ht="15">
      <c r="A35" s="30">
        <v>8</v>
      </c>
      <c r="B35" s="31" t="s">
        <v>470</v>
      </c>
      <c r="C35" s="31" t="s">
        <v>473</v>
      </c>
      <c r="D35" s="31" t="s">
        <v>483</v>
      </c>
      <c r="E35" s="31" t="s">
        <v>477</v>
      </c>
      <c r="F35" s="31" t="str">
        <f>IF(H35=1,INDEX('Match Results'!$G$6:$G$185,MATCH(A35,'Match Results'!$A$6:$A$185,0)),INDEX('Match Results'!$H$6:$H$185,MATCH(A35,'Match Results'!$A$6:$A$185,0)))</f>
        <v>B3</v>
      </c>
      <c r="G35" s="31" t="str">
        <f>IF(H35=1,INDEX('Match Results'!$H$6:$H$185,MATCH(A35,'Match Results'!$A$6:$A$185,0)),INDEX('Match Results'!$G$6:$G$185,MATCH(A35,'Match Results'!$A$6:$A$185,0)))</f>
        <v>B4</v>
      </c>
      <c r="H35" s="31">
        <v>1</v>
      </c>
      <c r="I35" s="31">
        <v>2</v>
      </c>
      <c r="J35" s="32"/>
      <c r="K35" s="31" t="str">
        <f>IF(J35="","",IFERROR(INDEX('Team Rosters'!$C$6:$C$205,MATCH(J35,'Team Rosters'!$B$6:$B$205,0)),"CODE NOT FOUND"))</f>
        <v/>
      </c>
      <c r="L35" s="31" t="str">
        <f t="shared" si="0"/>
        <v/>
      </c>
      <c r="M35" s="31" t="str">
        <f>IF(OR(J35="",C35&lt;&gt;"League",L35&lt;&gt;"VALID"),"",COUNTIFS($J$6:J35,J35,$G$6:G35,G35,$C$6:C35,"League"))</f>
        <v/>
      </c>
      <c r="N35" s="31" t="str">
        <f t="shared" si="1"/>
        <v/>
      </c>
      <c r="O35" s="37" t="str">
        <f t="shared" si="2"/>
        <v/>
      </c>
    </row>
    <row r="36" spans="1:15" ht="15">
      <c r="A36" s="30">
        <v>8</v>
      </c>
      <c r="B36" s="31" t="s">
        <v>470</v>
      </c>
      <c r="C36" s="31" t="s">
        <v>473</v>
      </c>
      <c r="D36" s="31" t="s">
        <v>483</v>
      </c>
      <c r="E36" s="31" t="s">
        <v>477</v>
      </c>
      <c r="F36" s="31" t="str">
        <f>IF(H36=1,INDEX('Match Results'!$G$6:$G$185,MATCH(A36,'Match Results'!$A$6:$A$185,0)),INDEX('Match Results'!$H$6:$H$185,MATCH(A36,'Match Results'!$A$6:$A$185,0)))</f>
        <v>B4</v>
      </c>
      <c r="G36" s="31" t="str">
        <f>IF(H36=1,INDEX('Match Results'!$H$6:$H$185,MATCH(A36,'Match Results'!$A$6:$A$185,0)),INDEX('Match Results'!$G$6:$G$185,MATCH(A36,'Match Results'!$A$6:$A$185,0)))</f>
        <v>B3</v>
      </c>
      <c r="H36" s="31">
        <v>2</v>
      </c>
      <c r="I36" s="31">
        <v>3</v>
      </c>
      <c r="J36" s="32"/>
      <c r="K36" s="31" t="str">
        <f>IF(J36="","",IFERROR(INDEX('Team Rosters'!$C$6:$C$205,MATCH(J36,'Team Rosters'!$B$6:$B$205,0)),"CODE NOT FOUND"))</f>
        <v/>
      </c>
      <c r="L36" s="31" t="str">
        <f t="shared" si="0"/>
        <v/>
      </c>
      <c r="M36" s="31" t="str">
        <f>IF(OR(J36="",C36&lt;&gt;"League",L36&lt;&gt;"VALID"),"",COUNTIFS($J$6:J36,J36,$G$6:G36,G36,$C$6:C36,"League"))</f>
        <v/>
      </c>
      <c r="N36" s="31" t="str">
        <f t="shared" si="1"/>
        <v/>
      </c>
      <c r="O36" s="37" t="str">
        <f t="shared" si="2"/>
        <v/>
      </c>
    </row>
    <row r="37" spans="1:15" ht="15">
      <c r="A37" s="30">
        <v>8</v>
      </c>
      <c r="B37" s="31" t="s">
        <v>470</v>
      </c>
      <c r="C37" s="31" t="s">
        <v>473</v>
      </c>
      <c r="D37" s="31" t="s">
        <v>483</v>
      </c>
      <c r="E37" s="31" t="s">
        <v>477</v>
      </c>
      <c r="F37" s="31" t="str">
        <f>IF(H37=1,INDEX('Match Results'!$G$6:$G$185,MATCH(A37,'Match Results'!$A$6:$A$185,0)),INDEX('Match Results'!$H$6:$H$185,MATCH(A37,'Match Results'!$A$6:$A$185,0)))</f>
        <v>B4</v>
      </c>
      <c r="G37" s="31" t="str">
        <f>IF(H37=1,INDEX('Match Results'!$H$6:$H$185,MATCH(A37,'Match Results'!$A$6:$A$185,0)),INDEX('Match Results'!$G$6:$G$185,MATCH(A37,'Match Results'!$A$6:$A$185,0)))</f>
        <v>B3</v>
      </c>
      <c r="H37" s="31">
        <v>2</v>
      </c>
      <c r="I37" s="31">
        <v>4</v>
      </c>
      <c r="J37" s="32"/>
      <c r="K37" s="31" t="str">
        <f>IF(J37="","",IFERROR(INDEX('Team Rosters'!$C$6:$C$205,MATCH(J37,'Team Rosters'!$B$6:$B$205,0)),"CODE NOT FOUND"))</f>
        <v/>
      </c>
      <c r="L37" s="31" t="str">
        <f t="shared" si="0"/>
        <v/>
      </c>
      <c r="M37" s="31" t="str">
        <f>IF(OR(J37="",C37&lt;&gt;"League",L37&lt;&gt;"VALID"),"",COUNTIFS($J$6:J37,J37,$G$6:G37,G37,$C$6:C37,"League"))</f>
        <v/>
      </c>
      <c r="N37" s="31" t="str">
        <f t="shared" si="1"/>
        <v/>
      </c>
      <c r="O37" s="37" t="str">
        <f t="shared" si="2"/>
        <v/>
      </c>
    </row>
    <row r="38" spans="1:15" ht="15">
      <c r="A38" s="30">
        <v>9</v>
      </c>
      <c r="B38" s="31" t="s">
        <v>470</v>
      </c>
      <c r="C38" s="31" t="s">
        <v>473</v>
      </c>
      <c r="D38" s="31" t="s">
        <v>486</v>
      </c>
      <c r="E38" s="31" t="s">
        <v>475</v>
      </c>
      <c r="F38" s="31" t="str">
        <f>IF(H38=1,INDEX('Match Results'!$G$6:$G$185,MATCH(A38,'Match Results'!$A$6:$A$185,0)),INDEX('Match Results'!$H$6:$H$185,MATCH(A38,'Match Results'!$A$6:$A$185,0)))</f>
        <v>A1</v>
      </c>
      <c r="G38" s="31" t="str">
        <f>IF(H38=1,INDEX('Match Results'!$H$6:$H$185,MATCH(A38,'Match Results'!$A$6:$A$185,0)),INDEX('Match Results'!$G$6:$G$185,MATCH(A38,'Match Results'!$A$6:$A$185,0)))</f>
        <v>A3</v>
      </c>
      <c r="H38" s="31">
        <v>1</v>
      </c>
      <c r="I38" s="31">
        <v>1</v>
      </c>
      <c r="J38" s="32"/>
      <c r="K38" s="31" t="str">
        <f>IF(J38="","",IFERROR(INDEX('Team Rosters'!$C$6:$C$205,MATCH(J38,'Team Rosters'!$B$6:$B$205,0)),"CODE NOT FOUND"))</f>
        <v/>
      </c>
      <c r="L38" s="31" t="str">
        <f t="shared" si="0"/>
        <v/>
      </c>
      <c r="M38" s="31" t="str">
        <f>IF(OR(J38="",C38&lt;&gt;"League",L38&lt;&gt;"VALID"),"",COUNTIFS($J$6:J38,J38,$G$6:G38,G38,$C$6:C38,"League"))</f>
        <v/>
      </c>
      <c r="N38" s="31" t="str">
        <f t="shared" si="1"/>
        <v/>
      </c>
      <c r="O38" s="37" t="str">
        <f t="shared" si="2"/>
        <v/>
      </c>
    </row>
    <row r="39" spans="1:15" ht="15">
      <c r="A39" s="30">
        <v>9</v>
      </c>
      <c r="B39" s="31" t="s">
        <v>470</v>
      </c>
      <c r="C39" s="31" t="s">
        <v>473</v>
      </c>
      <c r="D39" s="31" t="s">
        <v>486</v>
      </c>
      <c r="E39" s="31" t="s">
        <v>475</v>
      </c>
      <c r="F39" s="31" t="str">
        <f>IF(H39=1,INDEX('Match Results'!$G$6:$G$185,MATCH(A39,'Match Results'!$A$6:$A$185,0)),INDEX('Match Results'!$H$6:$H$185,MATCH(A39,'Match Results'!$A$6:$A$185,0)))</f>
        <v>A1</v>
      </c>
      <c r="G39" s="31" t="str">
        <f>IF(H39=1,INDEX('Match Results'!$H$6:$H$185,MATCH(A39,'Match Results'!$A$6:$A$185,0)),INDEX('Match Results'!$G$6:$G$185,MATCH(A39,'Match Results'!$A$6:$A$185,0)))</f>
        <v>A3</v>
      </c>
      <c r="H39" s="31">
        <v>1</v>
      </c>
      <c r="I39" s="31">
        <v>2</v>
      </c>
      <c r="J39" s="32"/>
      <c r="K39" s="31" t="str">
        <f>IF(J39="","",IFERROR(INDEX('Team Rosters'!$C$6:$C$205,MATCH(J39,'Team Rosters'!$B$6:$B$205,0)),"CODE NOT FOUND"))</f>
        <v/>
      </c>
      <c r="L39" s="31" t="str">
        <f t="shared" si="0"/>
        <v/>
      </c>
      <c r="M39" s="31" t="str">
        <f>IF(OR(J39="",C39&lt;&gt;"League",L39&lt;&gt;"VALID"),"",COUNTIFS($J$6:J39,J39,$G$6:G39,G39,$C$6:C39,"League"))</f>
        <v/>
      </c>
      <c r="N39" s="31" t="str">
        <f t="shared" si="1"/>
        <v/>
      </c>
      <c r="O39" s="37" t="str">
        <f t="shared" si="2"/>
        <v/>
      </c>
    </row>
    <row r="40" spans="1:15" ht="15">
      <c r="A40" s="30">
        <v>9</v>
      </c>
      <c r="B40" s="31" t="s">
        <v>470</v>
      </c>
      <c r="C40" s="31" t="s">
        <v>473</v>
      </c>
      <c r="D40" s="31" t="s">
        <v>486</v>
      </c>
      <c r="E40" s="31" t="s">
        <v>475</v>
      </c>
      <c r="F40" s="31" t="str">
        <f>IF(H40=1,INDEX('Match Results'!$G$6:$G$185,MATCH(A40,'Match Results'!$A$6:$A$185,0)),INDEX('Match Results'!$H$6:$H$185,MATCH(A40,'Match Results'!$A$6:$A$185,0)))</f>
        <v>A3</v>
      </c>
      <c r="G40" s="31" t="str">
        <f>IF(H40=1,INDEX('Match Results'!$H$6:$H$185,MATCH(A40,'Match Results'!$A$6:$A$185,0)),INDEX('Match Results'!$G$6:$G$185,MATCH(A40,'Match Results'!$A$6:$A$185,0)))</f>
        <v>A1</v>
      </c>
      <c r="H40" s="31">
        <v>2</v>
      </c>
      <c r="I40" s="31">
        <v>3</v>
      </c>
      <c r="J40" s="32"/>
      <c r="K40" s="31" t="str">
        <f>IF(J40="","",IFERROR(INDEX('Team Rosters'!$C$6:$C$205,MATCH(J40,'Team Rosters'!$B$6:$B$205,0)),"CODE NOT FOUND"))</f>
        <v/>
      </c>
      <c r="L40" s="31" t="str">
        <f t="shared" si="0"/>
        <v/>
      </c>
      <c r="M40" s="31" t="str">
        <f>IF(OR(J40="",C40&lt;&gt;"League",L40&lt;&gt;"VALID"),"",COUNTIFS($J$6:J40,J40,$G$6:G40,G40,$C$6:C40,"League"))</f>
        <v/>
      </c>
      <c r="N40" s="31" t="str">
        <f t="shared" si="1"/>
        <v/>
      </c>
      <c r="O40" s="37" t="str">
        <f t="shared" si="2"/>
        <v/>
      </c>
    </row>
    <row r="41" spans="1:15" ht="15">
      <c r="A41" s="30">
        <v>9</v>
      </c>
      <c r="B41" s="31" t="s">
        <v>470</v>
      </c>
      <c r="C41" s="31" t="s">
        <v>473</v>
      </c>
      <c r="D41" s="31" t="s">
        <v>486</v>
      </c>
      <c r="E41" s="31" t="s">
        <v>475</v>
      </c>
      <c r="F41" s="31" t="str">
        <f>IF(H41=1,INDEX('Match Results'!$G$6:$G$185,MATCH(A41,'Match Results'!$A$6:$A$185,0)),INDEX('Match Results'!$H$6:$H$185,MATCH(A41,'Match Results'!$A$6:$A$185,0)))</f>
        <v>A3</v>
      </c>
      <c r="G41" s="31" t="str">
        <f>IF(H41=1,INDEX('Match Results'!$H$6:$H$185,MATCH(A41,'Match Results'!$A$6:$A$185,0)),INDEX('Match Results'!$G$6:$G$185,MATCH(A41,'Match Results'!$A$6:$A$185,0)))</f>
        <v>A1</v>
      </c>
      <c r="H41" s="31">
        <v>2</v>
      </c>
      <c r="I41" s="31">
        <v>4</v>
      </c>
      <c r="J41" s="32"/>
      <c r="K41" s="31" t="str">
        <f>IF(J41="","",IFERROR(INDEX('Team Rosters'!$C$6:$C$205,MATCH(J41,'Team Rosters'!$B$6:$B$205,0)),"CODE NOT FOUND"))</f>
        <v/>
      </c>
      <c r="L41" s="31" t="str">
        <f t="shared" si="0"/>
        <v/>
      </c>
      <c r="M41" s="31" t="str">
        <f>IF(OR(J41="",C41&lt;&gt;"League",L41&lt;&gt;"VALID"),"",COUNTIFS($J$6:J41,J41,$G$6:G41,G41,$C$6:C41,"League"))</f>
        <v/>
      </c>
      <c r="N41" s="31" t="str">
        <f t="shared" si="1"/>
        <v/>
      </c>
      <c r="O41" s="37" t="str">
        <f t="shared" si="2"/>
        <v/>
      </c>
    </row>
    <row r="42" spans="1:15" ht="15">
      <c r="A42" s="30">
        <v>10</v>
      </c>
      <c r="B42" s="31" t="s">
        <v>470</v>
      </c>
      <c r="C42" s="31" t="s">
        <v>473</v>
      </c>
      <c r="D42" s="31" t="s">
        <v>486</v>
      </c>
      <c r="E42" s="31" t="s">
        <v>472</v>
      </c>
      <c r="F42" s="31" t="str">
        <f>IF(H42=1,INDEX('Match Results'!$G$6:$G$185,MATCH(A42,'Match Results'!$A$6:$A$185,0)),INDEX('Match Results'!$H$6:$H$185,MATCH(A42,'Match Results'!$A$6:$A$185,0)))</f>
        <v>A2</v>
      </c>
      <c r="G42" s="31" t="str">
        <f>IF(H42=1,INDEX('Match Results'!$H$6:$H$185,MATCH(A42,'Match Results'!$A$6:$A$185,0)),INDEX('Match Results'!$G$6:$G$185,MATCH(A42,'Match Results'!$A$6:$A$185,0)))</f>
        <v>A4</v>
      </c>
      <c r="H42" s="31">
        <v>1</v>
      </c>
      <c r="I42" s="31">
        <v>1</v>
      </c>
      <c r="J42" s="32"/>
      <c r="K42" s="31" t="str">
        <f>IF(J42="","",IFERROR(INDEX('Team Rosters'!$C$6:$C$205,MATCH(J42,'Team Rosters'!$B$6:$B$205,0)),"CODE NOT FOUND"))</f>
        <v/>
      </c>
      <c r="L42" s="31" t="str">
        <f>IF(J42="","",IF(AND(K42&lt;&gt;"",K42&lt;&gt;"CODE NOT FOUND",LEFT(J42,2)=F42),"VALID","CHECK ROSTER"))</f>
        <v/>
      </c>
      <c r="M42" s="31" t="str">
        <f>IF(OR(J42="",C42&lt;&gt;"League",L42&lt;&gt;"VALID"),"",COUNTIFS($J$6:J42,J42,$G$6:G42,G42,$C$6:C42,"League"))</f>
        <v/>
      </c>
      <c r="N42" s="31" t="str">
        <f>IF(J42="","",IF(L42&lt;&gt;"VALID","CHECK ROSTER",IF(C42&lt;&gt;"League","NOT APPLICABLE",IF(M42&lt;=2,"OK","VIOLATION"))))</f>
        <v/>
      </c>
      <c r="O42" s="37" t="str">
        <f>IF(N42="VIOLATION",K42&amp;" has played "&amp;M42&amp;" league matches against "&amp;G42&amp;"; limit is 2.","")</f>
        <v/>
      </c>
    </row>
    <row r="43" spans="1:15" ht="15">
      <c r="A43" s="30">
        <v>10</v>
      </c>
      <c r="B43" s="31" t="s">
        <v>470</v>
      </c>
      <c r="C43" s="31" t="s">
        <v>473</v>
      </c>
      <c r="D43" s="31" t="s">
        <v>486</v>
      </c>
      <c r="E43" s="31" t="s">
        <v>472</v>
      </c>
      <c r="F43" s="31" t="str">
        <f>IF(H43=1,INDEX('Match Results'!$G$6:$G$185,MATCH(A43,'Match Results'!$A$6:$A$185,0)),INDEX('Match Results'!$H$6:$H$185,MATCH(A43,'Match Results'!$A$6:$A$185,0)))</f>
        <v>A2</v>
      </c>
      <c r="G43" s="31" t="str">
        <f>IF(H43=1,INDEX('Match Results'!$H$6:$H$185,MATCH(A43,'Match Results'!$A$6:$A$185,0)),INDEX('Match Results'!$G$6:$G$185,MATCH(A43,'Match Results'!$A$6:$A$185,0)))</f>
        <v>A4</v>
      </c>
      <c r="H43" s="31">
        <v>1</v>
      </c>
      <c r="I43" s="31">
        <v>2</v>
      </c>
      <c r="J43" s="32"/>
      <c r="K43" s="31" t="str">
        <f>IF(J43="","",IFERROR(INDEX('Team Rosters'!$C$6:$C$205,MATCH(J43,'Team Rosters'!$B$6:$B$205,0)),"CODE NOT FOUND"))</f>
        <v/>
      </c>
      <c r="L43" s="31" t="str">
        <f t="shared" si="0"/>
        <v/>
      </c>
      <c r="M43" s="31" t="str">
        <f>IF(OR(J43="",C43&lt;&gt;"League",L43&lt;&gt;"VALID"),"",COUNTIFS($J$6:J43,J43,$G$6:G43,G43,$C$6:C43,"League"))</f>
        <v/>
      </c>
      <c r="N43" s="31" t="str">
        <f t="shared" si="1"/>
        <v/>
      </c>
      <c r="O43" s="37" t="str">
        <f t="shared" si="2"/>
        <v/>
      </c>
    </row>
    <row r="44" spans="1:15" ht="15">
      <c r="A44" s="30">
        <v>10</v>
      </c>
      <c r="B44" s="31" t="s">
        <v>470</v>
      </c>
      <c r="C44" s="31" t="s">
        <v>473</v>
      </c>
      <c r="D44" s="31" t="s">
        <v>486</v>
      </c>
      <c r="E44" s="31" t="s">
        <v>472</v>
      </c>
      <c r="F44" s="31" t="str">
        <f>IF(H44=1,INDEX('Match Results'!$G$6:$G$185,MATCH(A44,'Match Results'!$A$6:$A$185,0)),INDEX('Match Results'!$H$6:$H$185,MATCH(A44,'Match Results'!$A$6:$A$185,0)))</f>
        <v>A4</v>
      </c>
      <c r="G44" s="31" t="str">
        <f>IF(H44=1,INDEX('Match Results'!$H$6:$H$185,MATCH(A44,'Match Results'!$A$6:$A$185,0)),INDEX('Match Results'!$G$6:$G$185,MATCH(A44,'Match Results'!$A$6:$A$185,0)))</f>
        <v>A2</v>
      </c>
      <c r="H44" s="31">
        <v>2</v>
      </c>
      <c r="I44" s="31">
        <v>3</v>
      </c>
      <c r="J44" s="32"/>
      <c r="K44" s="31" t="str">
        <f>IF(J44="","",IFERROR(INDEX('Team Rosters'!$C$6:$C$205,MATCH(J44,'Team Rosters'!$B$6:$B$205,0)),"CODE NOT FOUND"))</f>
        <v/>
      </c>
      <c r="L44" s="31" t="str">
        <f t="shared" si="0"/>
        <v/>
      </c>
      <c r="M44" s="31" t="str">
        <f>IF(OR(J44="",C44&lt;&gt;"League",L44&lt;&gt;"VALID"),"",COUNTIFS($J$6:J44,J44,$G$6:G44,G44,$C$6:C44,"League"))</f>
        <v/>
      </c>
      <c r="N44" s="31" t="str">
        <f t="shared" si="1"/>
        <v/>
      </c>
      <c r="O44" s="37" t="str">
        <f t="shared" si="2"/>
        <v/>
      </c>
    </row>
    <row r="45" spans="1:15" ht="15">
      <c r="A45" s="30">
        <v>10</v>
      </c>
      <c r="B45" s="31" t="s">
        <v>470</v>
      </c>
      <c r="C45" s="31" t="s">
        <v>473</v>
      </c>
      <c r="D45" s="31" t="s">
        <v>486</v>
      </c>
      <c r="E45" s="31" t="s">
        <v>472</v>
      </c>
      <c r="F45" s="31" t="str">
        <f>IF(H45=1,INDEX('Match Results'!$G$6:$G$185,MATCH(A45,'Match Results'!$A$6:$A$185,0)),INDEX('Match Results'!$H$6:$H$185,MATCH(A45,'Match Results'!$A$6:$A$185,0)))</f>
        <v>A4</v>
      </c>
      <c r="G45" s="31" t="str">
        <f>IF(H45=1,INDEX('Match Results'!$H$6:$H$185,MATCH(A45,'Match Results'!$A$6:$A$185,0)),INDEX('Match Results'!$G$6:$G$185,MATCH(A45,'Match Results'!$A$6:$A$185,0)))</f>
        <v>A2</v>
      </c>
      <c r="H45" s="31">
        <v>2</v>
      </c>
      <c r="I45" s="31">
        <v>4</v>
      </c>
      <c r="J45" s="32"/>
      <c r="K45" s="31" t="str">
        <f>IF(J45="","",IFERROR(INDEX('Team Rosters'!$C$6:$C$205,MATCH(J45,'Team Rosters'!$B$6:$B$205,0)),"CODE NOT FOUND"))</f>
        <v/>
      </c>
      <c r="L45" s="31" t="str">
        <f t="shared" si="0"/>
        <v/>
      </c>
      <c r="M45" s="31" t="str">
        <f>IF(OR(J45="",C45&lt;&gt;"League",L45&lt;&gt;"VALID"),"",COUNTIFS($J$6:J45,J45,$G$6:G45,G45,$C$6:C45,"League"))</f>
        <v/>
      </c>
      <c r="N45" s="31" t="str">
        <f t="shared" si="1"/>
        <v/>
      </c>
      <c r="O45" s="37" t="str">
        <f t="shared" si="2"/>
        <v/>
      </c>
    </row>
    <row r="46" spans="1:15" ht="15">
      <c r="A46" s="30">
        <v>11</v>
      </c>
      <c r="B46" s="31" t="s">
        <v>470</v>
      </c>
      <c r="C46" s="31" t="s">
        <v>473</v>
      </c>
      <c r="D46" s="31" t="s">
        <v>486</v>
      </c>
      <c r="E46" s="31" t="s">
        <v>477</v>
      </c>
      <c r="F46" s="31" t="str">
        <f>IF(H46=1,INDEX('Match Results'!$G$6:$G$185,MATCH(A46,'Match Results'!$A$6:$A$185,0)),INDEX('Match Results'!$H$6:$H$185,MATCH(A46,'Match Results'!$A$6:$A$185,0)))</f>
        <v>B2</v>
      </c>
      <c r="G46" s="31" t="str">
        <f>IF(H46=1,INDEX('Match Results'!$H$6:$H$185,MATCH(A46,'Match Results'!$A$6:$A$185,0)),INDEX('Match Results'!$G$6:$G$185,MATCH(A46,'Match Results'!$A$6:$A$185,0)))</f>
        <v>B4</v>
      </c>
      <c r="H46" s="31">
        <v>1</v>
      </c>
      <c r="I46" s="31">
        <v>1</v>
      </c>
      <c r="J46" s="32"/>
      <c r="K46" s="31" t="str">
        <f>IF(J46="","",IFERROR(INDEX('Team Rosters'!$C$6:$C$205,MATCH(J46,'Team Rosters'!$B$6:$B$205,0)),"CODE NOT FOUND"))</f>
        <v/>
      </c>
      <c r="L46" s="31" t="str">
        <f t="shared" si="0"/>
        <v/>
      </c>
      <c r="M46" s="31" t="str">
        <f>IF(OR(J46="",C46&lt;&gt;"League",L46&lt;&gt;"VALID"),"",COUNTIFS($J$6:J46,J46,$G$6:G46,G46,$C$6:C46,"League"))</f>
        <v/>
      </c>
      <c r="N46" s="31" t="str">
        <f t="shared" si="1"/>
        <v/>
      </c>
      <c r="O46" s="37" t="str">
        <f t="shared" si="2"/>
        <v/>
      </c>
    </row>
    <row r="47" spans="1:15" ht="15">
      <c r="A47" s="30">
        <v>11</v>
      </c>
      <c r="B47" s="31" t="s">
        <v>470</v>
      </c>
      <c r="C47" s="31" t="s">
        <v>473</v>
      </c>
      <c r="D47" s="31" t="s">
        <v>486</v>
      </c>
      <c r="E47" s="31" t="s">
        <v>477</v>
      </c>
      <c r="F47" s="31" t="str">
        <f>IF(H47=1,INDEX('Match Results'!$G$6:$G$185,MATCH(A47,'Match Results'!$A$6:$A$185,0)),INDEX('Match Results'!$H$6:$H$185,MATCH(A47,'Match Results'!$A$6:$A$185,0)))</f>
        <v>B2</v>
      </c>
      <c r="G47" s="31" t="str">
        <f>IF(H47=1,INDEX('Match Results'!$H$6:$H$185,MATCH(A47,'Match Results'!$A$6:$A$185,0)),INDEX('Match Results'!$G$6:$G$185,MATCH(A47,'Match Results'!$A$6:$A$185,0)))</f>
        <v>B4</v>
      </c>
      <c r="H47" s="31">
        <v>1</v>
      </c>
      <c r="I47" s="31">
        <v>2</v>
      </c>
      <c r="J47" s="32"/>
      <c r="K47" s="31" t="str">
        <f>IF(J47="","",IFERROR(INDEX('Team Rosters'!$C$6:$C$205,MATCH(J47,'Team Rosters'!$B$6:$B$205,0)),"CODE NOT FOUND"))</f>
        <v/>
      </c>
      <c r="L47" s="31" t="str">
        <f t="shared" si="0"/>
        <v/>
      </c>
      <c r="M47" s="31" t="str">
        <f>IF(OR(J47="",C47&lt;&gt;"League",L47&lt;&gt;"VALID"),"",COUNTIFS($J$6:J47,J47,$G$6:G47,G47,$C$6:C47,"League"))</f>
        <v/>
      </c>
      <c r="N47" s="31" t="str">
        <f t="shared" si="1"/>
        <v/>
      </c>
      <c r="O47" s="37" t="str">
        <f t="shared" si="2"/>
        <v/>
      </c>
    </row>
    <row r="48" spans="1:15" ht="15">
      <c r="A48" s="30">
        <v>11</v>
      </c>
      <c r="B48" s="31" t="s">
        <v>470</v>
      </c>
      <c r="C48" s="31" t="s">
        <v>473</v>
      </c>
      <c r="D48" s="31" t="s">
        <v>486</v>
      </c>
      <c r="E48" s="31" t="s">
        <v>477</v>
      </c>
      <c r="F48" s="31" t="str">
        <f>IF(H48=1,INDEX('Match Results'!$G$6:$G$185,MATCH(A48,'Match Results'!$A$6:$A$185,0)),INDEX('Match Results'!$H$6:$H$185,MATCH(A48,'Match Results'!$A$6:$A$185,0)))</f>
        <v>B4</v>
      </c>
      <c r="G48" s="31" t="str">
        <f>IF(H48=1,INDEX('Match Results'!$H$6:$H$185,MATCH(A48,'Match Results'!$A$6:$A$185,0)),INDEX('Match Results'!$G$6:$G$185,MATCH(A48,'Match Results'!$A$6:$A$185,0)))</f>
        <v>B2</v>
      </c>
      <c r="H48" s="31">
        <v>2</v>
      </c>
      <c r="I48" s="31">
        <v>3</v>
      </c>
      <c r="J48" s="32"/>
      <c r="K48" s="31" t="str">
        <f>IF(J48="","",IFERROR(INDEX('Team Rosters'!$C$6:$C$205,MATCH(J48,'Team Rosters'!$B$6:$B$205,0)),"CODE NOT FOUND"))</f>
        <v/>
      </c>
      <c r="L48" s="31" t="str">
        <f t="shared" si="0"/>
        <v/>
      </c>
      <c r="M48" s="31" t="str">
        <f>IF(OR(J48="",C48&lt;&gt;"League",L48&lt;&gt;"VALID"),"",COUNTIFS($J$6:J48,J48,$G$6:G48,G48,$C$6:C48,"League"))</f>
        <v/>
      </c>
      <c r="N48" s="31" t="str">
        <f t="shared" si="1"/>
        <v/>
      </c>
      <c r="O48" s="37" t="str">
        <f t="shared" si="2"/>
        <v/>
      </c>
    </row>
    <row r="49" spans="1:15" ht="15">
      <c r="A49" s="30">
        <v>11</v>
      </c>
      <c r="B49" s="31" t="s">
        <v>470</v>
      </c>
      <c r="C49" s="31" t="s">
        <v>473</v>
      </c>
      <c r="D49" s="31" t="s">
        <v>486</v>
      </c>
      <c r="E49" s="31" t="s">
        <v>477</v>
      </c>
      <c r="F49" s="31" t="str">
        <f>IF(H49=1,INDEX('Match Results'!$G$6:$G$185,MATCH(A49,'Match Results'!$A$6:$A$185,0)),INDEX('Match Results'!$H$6:$H$185,MATCH(A49,'Match Results'!$A$6:$A$185,0)))</f>
        <v>B4</v>
      </c>
      <c r="G49" s="31" t="str">
        <f>IF(H49=1,INDEX('Match Results'!$H$6:$H$185,MATCH(A49,'Match Results'!$A$6:$A$185,0)),INDEX('Match Results'!$G$6:$G$185,MATCH(A49,'Match Results'!$A$6:$A$185,0)))</f>
        <v>B2</v>
      </c>
      <c r="H49" s="31">
        <v>2</v>
      </c>
      <c r="I49" s="31">
        <v>4</v>
      </c>
      <c r="J49" s="32"/>
      <c r="K49" s="31" t="str">
        <f>IF(J49="","",IFERROR(INDEX('Team Rosters'!$C$6:$C$205,MATCH(J49,'Team Rosters'!$B$6:$B$205,0)),"CODE NOT FOUND"))</f>
        <v/>
      </c>
      <c r="L49" s="31" t="str">
        <f t="shared" si="0"/>
        <v/>
      </c>
      <c r="M49" s="31" t="str">
        <f>IF(OR(J49="",C49&lt;&gt;"League",L49&lt;&gt;"VALID"),"",COUNTIFS($J$6:J49,J49,$G$6:G49,G49,$C$6:C49,"League"))</f>
        <v/>
      </c>
      <c r="N49" s="31" t="str">
        <f t="shared" si="1"/>
        <v/>
      </c>
      <c r="O49" s="37" t="str">
        <f t="shared" si="2"/>
        <v/>
      </c>
    </row>
    <row r="50" spans="1:15" ht="15">
      <c r="A50" s="30">
        <v>12</v>
      </c>
      <c r="B50" s="31" t="s">
        <v>470</v>
      </c>
      <c r="C50" s="31" t="s">
        <v>473</v>
      </c>
      <c r="D50" s="31" t="s">
        <v>490</v>
      </c>
      <c r="E50" s="31" t="s">
        <v>491</v>
      </c>
      <c r="F50" s="31" t="str">
        <f>IF(H50=1,INDEX('Match Results'!$G$6:$G$185,MATCH(A50,'Match Results'!$A$6:$A$185,0)),INDEX('Match Results'!$H$6:$H$185,MATCH(A50,'Match Results'!$A$6:$A$185,0)))</f>
        <v>B1</v>
      </c>
      <c r="G50" s="31" t="str">
        <f>IF(H50=1,INDEX('Match Results'!$H$6:$H$185,MATCH(A50,'Match Results'!$A$6:$A$185,0)),INDEX('Match Results'!$G$6:$G$185,MATCH(A50,'Match Results'!$A$6:$A$185,0)))</f>
        <v>B3</v>
      </c>
      <c r="H50" s="31">
        <v>1</v>
      </c>
      <c r="I50" s="31">
        <v>1</v>
      </c>
      <c r="J50" s="32"/>
      <c r="K50" s="31" t="str">
        <f>IF(J50="","",IFERROR(INDEX('Team Rosters'!$C$6:$C$205,MATCH(J50,'Team Rosters'!$B$6:$B$205,0)),"CODE NOT FOUND"))</f>
        <v/>
      </c>
      <c r="L50" s="31" t="str">
        <f t="shared" si="0"/>
        <v/>
      </c>
      <c r="M50" s="31" t="str">
        <f>IF(OR(J50="",C50&lt;&gt;"League",L50&lt;&gt;"VALID"),"",COUNTIFS($J$6:J50,J50,$G$6:G50,G50,$C$6:C50,"League"))</f>
        <v/>
      </c>
      <c r="N50" s="31" t="str">
        <f t="shared" si="1"/>
        <v/>
      </c>
      <c r="O50" s="37" t="str">
        <f t="shared" si="2"/>
        <v/>
      </c>
    </row>
    <row r="51" spans="1:15" ht="15">
      <c r="A51" s="30">
        <v>12</v>
      </c>
      <c r="B51" s="31" t="s">
        <v>470</v>
      </c>
      <c r="C51" s="31" t="s">
        <v>473</v>
      </c>
      <c r="D51" s="31" t="s">
        <v>490</v>
      </c>
      <c r="E51" s="31" t="s">
        <v>491</v>
      </c>
      <c r="F51" s="31" t="str">
        <f>IF(H51=1,INDEX('Match Results'!$G$6:$G$185,MATCH(A51,'Match Results'!$A$6:$A$185,0)),INDEX('Match Results'!$H$6:$H$185,MATCH(A51,'Match Results'!$A$6:$A$185,0)))</f>
        <v>B1</v>
      </c>
      <c r="G51" s="31" t="str">
        <f>IF(H51=1,INDEX('Match Results'!$H$6:$H$185,MATCH(A51,'Match Results'!$A$6:$A$185,0)),INDEX('Match Results'!$G$6:$G$185,MATCH(A51,'Match Results'!$A$6:$A$185,0)))</f>
        <v>B3</v>
      </c>
      <c r="H51" s="31">
        <v>1</v>
      </c>
      <c r="I51" s="31">
        <v>2</v>
      </c>
      <c r="J51" s="32"/>
      <c r="K51" s="31" t="str">
        <f>IF(J51="","",IFERROR(INDEX('Team Rosters'!$C$6:$C$205,MATCH(J51,'Team Rosters'!$B$6:$B$205,0)),"CODE NOT FOUND"))</f>
        <v/>
      </c>
      <c r="L51" s="31" t="str">
        <f t="shared" si="0"/>
        <v/>
      </c>
      <c r="M51" s="31" t="str">
        <f>IF(OR(J51="",C51&lt;&gt;"League",L51&lt;&gt;"VALID"),"",COUNTIFS($J$6:J51,J51,$G$6:G51,G51,$C$6:C51,"League"))</f>
        <v/>
      </c>
      <c r="N51" s="31" t="str">
        <f t="shared" si="1"/>
        <v/>
      </c>
      <c r="O51" s="37" t="str">
        <f t="shared" si="2"/>
        <v/>
      </c>
    </row>
    <row r="52" spans="1:15" ht="15">
      <c r="A52" s="30">
        <v>12</v>
      </c>
      <c r="B52" s="31" t="s">
        <v>470</v>
      </c>
      <c r="C52" s="31" t="s">
        <v>473</v>
      </c>
      <c r="D52" s="31" t="s">
        <v>490</v>
      </c>
      <c r="E52" s="31" t="s">
        <v>491</v>
      </c>
      <c r="F52" s="31" t="str">
        <f>IF(H52=1,INDEX('Match Results'!$G$6:$G$185,MATCH(A52,'Match Results'!$A$6:$A$185,0)),INDEX('Match Results'!$H$6:$H$185,MATCH(A52,'Match Results'!$A$6:$A$185,0)))</f>
        <v>B1</v>
      </c>
      <c r="G52" s="31" t="str">
        <f>IF(H52=1,INDEX('Match Results'!$H$6:$H$185,MATCH(A52,'Match Results'!$A$6:$A$185,0)),INDEX('Match Results'!$G$6:$G$185,MATCH(A52,'Match Results'!$A$6:$A$185,0)))</f>
        <v>B3</v>
      </c>
      <c r="H52" s="31">
        <v>1</v>
      </c>
      <c r="I52" s="31">
        <v>3</v>
      </c>
      <c r="J52" s="32"/>
      <c r="K52" s="31" t="str">
        <f>IF(J52="","",IFERROR(INDEX('Team Rosters'!$C$6:$C$205,MATCH(J52,'Team Rosters'!$B$6:$B$205,0)),"CODE NOT FOUND"))</f>
        <v/>
      </c>
      <c r="L52" s="31" t="str">
        <f t="shared" si="0"/>
        <v/>
      </c>
      <c r="M52" s="31" t="str">
        <f>IF(OR(J52="",C52&lt;&gt;"League",L52&lt;&gt;"VALID"),"",COUNTIFS($J$6:J52,J52,$G$6:G52,G52,$C$6:C52,"League"))</f>
        <v/>
      </c>
      <c r="N52" s="31" t="str">
        <f t="shared" si="1"/>
        <v/>
      </c>
      <c r="O52" s="37" t="str">
        <f t="shared" si="2"/>
        <v/>
      </c>
    </row>
    <row r="53" spans="1:15" ht="15">
      <c r="A53" s="30">
        <v>12</v>
      </c>
      <c r="B53" s="31" t="s">
        <v>470</v>
      </c>
      <c r="C53" s="31" t="s">
        <v>473</v>
      </c>
      <c r="D53" s="31" t="s">
        <v>490</v>
      </c>
      <c r="E53" s="31" t="s">
        <v>491</v>
      </c>
      <c r="F53" s="31" t="str">
        <f>IF(H53=1,INDEX('Match Results'!$G$6:$G$185,MATCH(A53,'Match Results'!$A$6:$A$185,0)),INDEX('Match Results'!$H$6:$H$185,MATCH(A53,'Match Results'!$A$6:$A$185,0)))</f>
        <v>B1</v>
      </c>
      <c r="G53" s="31" t="str">
        <f>IF(H53=1,INDEX('Match Results'!$H$6:$H$185,MATCH(A53,'Match Results'!$A$6:$A$185,0)),INDEX('Match Results'!$G$6:$G$185,MATCH(A53,'Match Results'!$A$6:$A$185,0)))</f>
        <v>B3</v>
      </c>
      <c r="H53" s="31">
        <v>1</v>
      </c>
      <c r="I53" s="31">
        <v>4</v>
      </c>
      <c r="J53" s="32"/>
      <c r="K53" s="31" t="str">
        <f>IF(J53="","",IFERROR(INDEX('Team Rosters'!$C$6:$C$205,MATCH(J53,'Team Rosters'!$B$6:$B$205,0)),"CODE NOT FOUND"))</f>
        <v/>
      </c>
      <c r="L53" s="31" t="str">
        <f t="shared" si="0"/>
        <v/>
      </c>
      <c r="M53" s="31" t="str">
        <f>IF(OR(J53="",C53&lt;&gt;"League",L53&lt;&gt;"VALID"),"",COUNTIFS($J$6:J53,J53,$G$6:G53,G53,$C$6:C53,"League"))</f>
        <v/>
      </c>
      <c r="N53" s="31" t="str">
        <f t="shared" si="1"/>
        <v/>
      </c>
      <c r="O53" s="37" t="str">
        <f t="shared" si="2"/>
        <v/>
      </c>
    </row>
    <row r="54" spans="1:15" ht="15">
      <c r="A54" s="30">
        <v>12</v>
      </c>
      <c r="B54" s="31" t="s">
        <v>470</v>
      </c>
      <c r="C54" s="31" t="s">
        <v>473</v>
      </c>
      <c r="D54" s="31" t="s">
        <v>490</v>
      </c>
      <c r="E54" s="31" t="s">
        <v>491</v>
      </c>
      <c r="F54" s="31" t="str">
        <f>IF(H54=1,INDEX('Match Results'!$G$6:$G$185,MATCH(A54,'Match Results'!$A$6:$A$185,0)),INDEX('Match Results'!$H$6:$H$185,MATCH(A54,'Match Results'!$A$6:$A$185,0)))</f>
        <v>B1</v>
      </c>
      <c r="G54" s="31" t="str">
        <f>IF(H54=1,INDEX('Match Results'!$H$6:$H$185,MATCH(A54,'Match Results'!$A$6:$A$185,0)),INDEX('Match Results'!$G$6:$G$185,MATCH(A54,'Match Results'!$A$6:$A$185,0)))</f>
        <v>B3</v>
      </c>
      <c r="H54" s="31">
        <v>1</v>
      </c>
      <c r="I54" s="31">
        <v>5</v>
      </c>
      <c r="J54" s="32"/>
      <c r="K54" s="31" t="str">
        <f>IF(J54="","",IFERROR(INDEX('Team Rosters'!$C$6:$C$205,MATCH(J54,'Team Rosters'!$B$6:$B$205,0)),"CODE NOT FOUND"))</f>
        <v/>
      </c>
      <c r="L54" s="31" t="str">
        <f t="shared" si="0"/>
        <v/>
      </c>
      <c r="M54" s="31" t="str">
        <f>IF(OR(J54="",C54&lt;&gt;"League",L54&lt;&gt;"VALID"),"",COUNTIFS($J$6:J54,J54,$G$6:G54,G54,$C$6:C54,"League"))</f>
        <v/>
      </c>
      <c r="N54" s="31" t="str">
        <f t="shared" si="1"/>
        <v/>
      </c>
      <c r="O54" s="37" t="str">
        <f t="shared" si="2"/>
        <v/>
      </c>
    </row>
    <row r="55" spans="1:15" ht="15">
      <c r="A55" s="30">
        <v>12</v>
      </c>
      <c r="B55" s="31" t="s">
        <v>470</v>
      </c>
      <c r="C55" s="31" t="s">
        <v>473</v>
      </c>
      <c r="D55" s="31" t="s">
        <v>490</v>
      </c>
      <c r="E55" s="31" t="s">
        <v>491</v>
      </c>
      <c r="F55" s="31" t="str">
        <f>IF(H55=1,INDEX('Match Results'!$G$6:$G$185,MATCH(A55,'Match Results'!$A$6:$A$185,0)),INDEX('Match Results'!$H$6:$H$185,MATCH(A55,'Match Results'!$A$6:$A$185,0)))</f>
        <v>B1</v>
      </c>
      <c r="G55" s="31" t="str">
        <f>IF(H55=1,INDEX('Match Results'!$H$6:$H$185,MATCH(A55,'Match Results'!$A$6:$A$185,0)),INDEX('Match Results'!$G$6:$G$185,MATCH(A55,'Match Results'!$A$6:$A$185,0)))</f>
        <v>B3</v>
      </c>
      <c r="H55" s="31">
        <v>1</v>
      </c>
      <c r="I55" s="31">
        <v>6</v>
      </c>
      <c r="J55" s="32"/>
      <c r="K55" s="31" t="str">
        <f>IF(J55="","",IFERROR(INDEX('Team Rosters'!$C$6:$C$205,MATCH(J55,'Team Rosters'!$B$6:$B$205,0)),"CODE NOT FOUND"))</f>
        <v/>
      </c>
      <c r="L55" s="31" t="str">
        <f t="shared" si="0"/>
        <v/>
      </c>
      <c r="M55" s="31" t="str">
        <f>IF(OR(J55="",C55&lt;&gt;"League",L55&lt;&gt;"VALID"),"",COUNTIFS($J$6:J55,J55,$G$6:G55,G55,$C$6:C55,"League"))</f>
        <v/>
      </c>
      <c r="N55" s="31" t="str">
        <f t="shared" si="1"/>
        <v/>
      </c>
      <c r="O55" s="37" t="str">
        <f t="shared" si="2"/>
        <v/>
      </c>
    </row>
    <row r="56" spans="1:15" ht="15">
      <c r="A56" s="30">
        <v>12</v>
      </c>
      <c r="B56" s="31" t="s">
        <v>470</v>
      </c>
      <c r="C56" s="31" t="s">
        <v>473</v>
      </c>
      <c r="D56" s="31" t="s">
        <v>490</v>
      </c>
      <c r="E56" s="31" t="s">
        <v>491</v>
      </c>
      <c r="F56" s="31" t="str">
        <f>IF(H56=1,INDEX('Match Results'!$G$6:$G$185,MATCH(A56,'Match Results'!$A$6:$A$185,0)),INDEX('Match Results'!$H$6:$H$185,MATCH(A56,'Match Results'!$A$6:$A$185,0)))</f>
        <v>B1</v>
      </c>
      <c r="G56" s="31" t="str">
        <f>IF(H56=1,INDEX('Match Results'!$H$6:$H$185,MATCH(A56,'Match Results'!$A$6:$A$185,0)),INDEX('Match Results'!$G$6:$G$185,MATCH(A56,'Match Results'!$A$6:$A$185,0)))</f>
        <v>B3</v>
      </c>
      <c r="H56" s="31">
        <v>1</v>
      </c>
      <c r="I56" s="31">
        <v>7</v>
      </c>
      <c r="J56" s="32"/>
      <c r="K56" s="31" t="str">
        <f>IF(J56="","",IFERROR(INDEX('Team Rosters'!$C$6:$C$205,MATCH(J56,'Team Rosters'!$B$6:$B$205,0)),"CODE NOT FOUND"))</f>
        <v/>
      </c>
      <c r="L56" s="31" t="str">
        <f t="shared" si="0"/>
        <v/>
      </c>
      <c r="M56" s="31" t="str">
        <f>IF(OR(J56="",C56&lt;&gt;"League",L56&lt;&gt;"VALID"),"",COUNTIFS($J$6:J56,J56,$G$6:G56,G56,$C$6:C56,"League"))</f>
        <v/>
      </c>
      <c r="N56" s="31" t="str">
        <f t="shared" si="1"/>
        <v/>
      </c>
      <c r="O56" s="37" t="str">
        <f t="shared" si="2"/>
        <v/>
      </c>
    </row>
    <row r="57" spans="1:15" ht="15">
      <c r="A57" s="30">
        <v>12</v>
      </c>
      <c r="B57" s="31" t="s">
        <v>470</v>
      </c>
      <c r="C57" s="31" t="s">
        <v>473</v>
      </c>
      <c r="D57" s="31" t="s">
        <v>490</v>
      </c>
      <c r="E57" s="31" t="s">
        <v>491</v>
      </c>
      <c r="F57" s="31" t="str">
        <f>IF(H57=1,INDEX('Match Results'!$G$6:$G$185,MATCH(A57,'Match Results'!$A$6:$A$185,0)),INDEX('Match Results'!$H$6:$H$185,MATCH(A57,'Match Results'!$A$6:$A$185,0)))</f>
        <v>B3</v>
      </c>
      <c r="G57" s="31" t="str">
        <f>IF(H57=1,INDEX('Match Results'!$H$6:$H$185,MATCH(A57,'Match Results'!$A$6:$A$185,0)),INDEX('Match Results'!$G$6:$G$185,MATCH(A57,'Match Results'!$A$6:$A$185,0)))</f>
        <v>B1</v>
      </c>
      <c r="H57" s="31">
        <v>2</v>
      </c>
      <c r="I57" s="31">
        <v>8</v>
      </c>
      <c r="J57" s="32"/>
      <c r="K57" s="31" t="str">
        <f>IF(J57="","",IFERROR(INDEX('Team Rosters'!$C$6:$C$205,MATCH(J57,'Team Rosters'!$B$6:$B$205,0)),"CODE NOT FOUND"))</f>
        <v/>
      </c>
      <c r="L57" s="31" t="str">
        <f t="shared" si="0"/>
        <v/>
      </c>
      <c r="M57" s="31" t="str">
        <f>IF(OR(J57="",C57&lt;&gt;"League",L57&lt;&gt;"VALID"),"",COUNTIFS($J$6:J57,J57,$G$6:G57,G57,$C$6:C57,"League"))</f>
        <v/>
      </c>
      <c r="N57" s="31" t="str">
        <f t="shared" si="1"/>
        <v/>
      </c>
      <c r="O57" s="37" t="str">
        <f t="shared" si="2"/>
        <v/>
      </c>
    </row>
    <row r="58" spans="1:15" ht="15">
      <c r="A58" s="30">
        <v>12</v>
      </c>
      <c r="B58" s="31" t="s">
        <v>470</v>
      </c>
      <c r="C58" s="31" t="s">
        <v>473</v>
      </c>
      <c r="D58" s="31" t="s">
        <v>490</v>
      </c>
      <c r="E58" s="31" t="s">
        <v>491</v>
      </c>
      <c r="F58" s="31" t="str">
        <f>IF(H58=1,INDEX('Match Results'!$G$6:$G$185,MATCH(A58,'Match Results'!$A$6:$A$185,0)),INDEX('Match Results'!$H$6:$H$185,MATCH(A58,'Match Results'!$A$6:$A$185,0)))</f>
        <v>B3</v>
      </c>
      <c r="G58" s="31" t="str">
        <f>IF(H58=1,INDEX('Match Results'!$H$6:$H$185,MATCH(A58,'Match Results'!$A$6:$A$185,0)),INDEX('Match Results'!$G$6:$G$185,MATCH(A58,'Match Results'!$A$6:$A$185,0)))</f>
        <v>B1</v>
      </c>
      <c r="H58" s="31">
        <v>2</v>
      </c>
      <c r="I58" s="31">
        <v>9</v>
      </c>
      <c r="J58" s="32"/>
      <c r="K58" s="31" t="str">
        <f>IF(J58="","",IFERROR(INDEX('Team Rosters'!$C$6:$C$205,MATCH(J58,'Team Rosters'!$B$6:$B$205,0)),"CODE NOT FOUND"))</f>
        <v/>
      </c>
      <c r="L58" s="31" t="str">
        <f t="shared" si="0"/>
        <v/>
      </c>
      <c r="M58" s="31" t="str">
        <f>IF(OR(J58="",C58&lt;&gt;"League",L58&lt;&gt;"VALID"),"",COUNTIFS($J$6:J58,J58,$G$6:G58,G58,$C$6:C58,"League"))</f>
        <v/>
      </c>
      <c r="N58" s="31" t="str">
        <f t="shared" si="1"/>
        <v/>
      </c>
      <c r="O58" s="37" t="str">
        <f t="shared" si="2"/>
        <v/>
      </c>
    </row>
    <row r="59" spans="1:15" ht="15">
      <c r="A59" s="30">
        <v>12</v>
      </c>
      <c r="B59" s="31" t="s">
        <v>470</v>
      </c>
      <c r="C59" s="31" t="s">
        <v>473</v>
      </c>
      <c r="D59" s="31" t="s">
        <v>490</v>
      </c>
      <c r="E59" s="31" t="s">
        <v>491</v>
      </c>
      <c r="F59" s="31" t="str">
        <f>IF(H59=1,INDEX('Match Results'!$G$6:$G$185,MATCH(A59,'Match Results'!$A$6:$A$185,0)),INDEX('Match Results'!$H$6:$H$185,MATCH(A59,'Match Results'!$A$6:$A$185,0)))</f>
        <v>B3</v>
      </c>
      <c r="G59" s="31" t="str">
        <f>IF(H59=1,INDEX('Match Results'!$H$6:$H$185,MATCH(A59,'Match Results'!$A$6:$A$185,0)),INDEX('Match Results'!$G$6:$G$185,MATCH(A59,'Match Results'!$A$6:$A$185,0)))</f>
        <v>B1</v>
      </c>
      <c r="H59" s="31">
        <v>2</v>
      </c>
      <c r="I59" s="31">
        <v>10</v>
      </c>
      <c r="J59" s="32"/>
      <c r="K59" s="31" t="str">
        <f>IF(J59="","",IFERROR(INDEX('Team Rosters'!$C$6:$C$205,MATCH(J59,'Team Rosters'!$B$6:$B$205,0)),"CODE NOT FOUND"))</f>
        <v/>
      </c>
      <c r="L59" s="31" t="str">
        <f t="shared" si="0"/>
        <v/>
      </c>
      <c r="M59" s="31" t="str">
        <f>IF(OR(J59="",C59&lt;&gt;"League",L59&lt;&gt;"VALID"),"",COUNTIFS($J$6:J59,J59,$G$6:G59,G59,$C$6:C59,"League"))</f>
        <v/>
      </c>
      <c r="N59" s="31" t="str">
        <f t="shared" si="1"/>
        <v/>
      </c>
      <c r="O59" s="37" t="str">
        <f t="shared" si="2"/>
        <v/>
      </c>
    </row>
    <row r="60" spans="1:15" ht="15">
      <c r="A60" s="30">
        <v>12</v>
      </c>
      <c r="B60" s="31" t="s">
        <v>470</v>
      </c>
      <c r="C60" s="31" t="s">
        <v>473</v>
      </c>
      <c r="D60" s="31" t="s">
        <v>490</v>
      </c>
      <c r="E60" s="31" t="s">
        <v>491</v>
      </c>
      <c r="F60" s="31" t="str">
        <f>IF(H60=1,INDEX('Match Results'!$G$6:$G$185,MATCH(A60,'Match Results'!$A$6:$A$185,0)),INDEX('Match Results'!$H$6:$H$185,MATCH(A60,'Match Results'!$A$6:$A$185,0)))</f>
        <v>B3</v>
      </c>
      <c r="G60" s="31" t="str">
        <f>IF(H60=1,INDEX('Match Results'!$H$6:$H$185,MATCH(A60,'Match Results'!$A$6:$A$185,0)),INDEX('Match Results'!$G$6:$G$185,MATCH(A60,'Match Results'!$A$6:$A$185,0)))</f>
        <v>B1</v>
      </c>
      <c r="H60" s="31">
        <v>2</v>
      </c>
      <c r="I60" s="31">
        <v>11</v>
      </c>
      <c r="J60" s="32"/>
      <c r="K60" s="31" t="str">
        <f>IF(J60="","",IFERROR(INDEX('Team Rosters'!$C$6:$C$205,MATCH(J60,'Team Rosters'!$B$6:$B$205,0)),"CODE NOT FOUND"))</f>
        <v/>
      </c>
      <c r="L60" s="31" t="str">
        <f t="shared" si="0"/>
        <v/>
      </c>
      <c r="M60" s="31" t="str">
        <f>IF(OR(J60="",C60&lt;&gt;"League",L60&lt;&gt;"VALID"),"",COUNTIFS($J$6:J60,J60,$G$6:G60,G60,$C$6:C60,"League"))</f>
        <v/>
      </c>
      <c r="N60" s="31" t="str">
        <f t="shared" si="1"/>
        <v/>
      </c>
      <c r="O60" s="37" t="str">
        <f t="shared" si="2"/>
        <v/>
      </c>
    </row>
    <row r="61" spans="1:15" ht="15">
      <c r="A61" s="30">
        <v>12</v>
      </c>
      <c r="B61" s="31" t="s">
        <v>470</v>
      </c>
      <c r="C61" s="31" t="s">
        <v>473</v>
      </c>
      <c r="D61" s="31" t="s">
        <v>490</v>
      </c>
      <c r="E61" s="31" t="s">
        <v>491</v>
      </c>
      <c r="F61" s="31" t="str">
        <f>IF(H61=1,INDEX('Match Results'!$G$6:$G$185,MATCH(A61,'Match Results'!$A$6:$A$185,0)),INDEX('Match Results'!$H$6:$H$185,MATCH(A61,'Match Results'!$A$6:$A$185,0)))</f>
        <v>B3</v>
      </c>
      <c r="G61" s="31" t="str">
        <f>IF(H61=1,INDEX('Match Results'!$H$6:$H$185,MATCH(A61,'Match Results'!$A$6:$A$185,0)),INDEX('Match Results'!$G$6:$G$185,MATCH(A61,'Match Results'!$A$6:$A$185,0)))</f>
        <v>B1</v>
      </c>
      <c r="H61" s="31">
        <v>2</v>
      </c>
      <c r="I61" s="31">
        <v>12</v>
      </c>
      <c r="J61" s="32"/>
      <c r="K61" s="31" t="str">
        <f>IF(J61="","",IFERROR(INDEX('Team Rosters'!$C$6:$C$205,MATCH(J61,'Team Rosters'!$B$6:$B$205,0)),"CODE NOT FOUND"))</f>
        <v/>
      </c>
      <c r="L61" s="31" t="str">
        <f t="shared" si="0"/>
        <v/>
      </c>
      <c r="M61" s="31" t="str">
        <f>IF(OR(J61="",C61&lt;&gt;"League",L61&lt;&gt;"VALID"),"",COUNTIFS($J$6:J61,J61,$G$6:G61,G61,$C$6:C61,"League"))</f>
        <v/>
      </c>
      <c r="N61" s="31" t="str">
        <f t="shared" si="1"/>
        <v/>
      </c>
      <c r="O61" s="37" t="str">
        <f t="shared" si="2"/>
        <v/>
      </c>
    </row>
    <row r="62" spans="1:15" ht="15">
      <c r="A62" s="30">
        <v>12</v>
      </c>
      <c r="B62" s="31" t="s">
        <v>470</v>
      </c>
      <c r="C62" s="31" t="s">
        <v>473</v>
      </c>
      <c r="D62" s="31" t="s">
        <v>490</v>
      </c>
      <c r="E62" s="31" t="s">
        <v>491</v>
      </c>
      <c r="F62" s="31" t="str">
        <f>IF(H62=1,INDEX('Match Results'!$G$6:$G$185,MATCH(A62,'Match Results'!$A$6:$A$185,0)),INDEX('Match Results'!$H$6:$H$185,MATCH(A62,'Match Results'!$A$6:$A$185,0)))</f>
        <v>B3</v>
      </c>
      <c r="G62" s="31" t="str">
        <f>IF(H62=1,INDEX('Match Results'!$H$6:$H$185,MATCH(A62,'Match Results'!$A$6:$A$185,0)),INDEX('Match Results'!$G$6:$G$185,MATCH(A62,'Match Results'!$A$6:$A$185,0)))</f>
        <v>B1</v>
      </c>
      <c r="H62" s="31">
        <v>2</v>
      </c>
      <c r="I62" s="31">
        <v>13</v>
      </c>
      <c r="J62" s="32"/>
      <c r="K62" s="31" t="str">
        <f>IF(J62="","",IFERROR(INDEX('Team Rosters'!$C$6:$C$205,MATCH(J62,'Team Rosters'!$B$6:$B$205,0)),"CODE NOT FOUND"))</f>
        <v/>
      </c>
      <c r="L62" s="31" t="str">
        <f t="shared" si="0"/>
        <v/>
      </c>
      <c r="M62" s="31" t="str">
        <f>IF(OR(J62="",C62&lt;&gt;"League",L62&lt;&gt;"VALID"),"",COUNTIFS($J$6:J62,J62,$G$6:G62,G62,$C$6:C62,"League"))</f>
        <v/>
      </c>
      <c r="N62" s="31" t="str">
        <f t="shared" si="1"/>
        <v/>
      </c>
      <c r="O62" s="37" t="str">
        <f t="shared" si="2"/>
        <v/>
      </c>
    </row>
    <row r="63" spans="1:15" ht="15">
      <c r="A63" s="30">
        <v>12</v>
      </c>
      <c r="B63" s="31" t="s">
        <v>470</v>
      </c>
      <c r="C63" s="31" t="s">
        <v>473</v>
      </c>
      <c r="D63" s="31" t="s">
        <v>490</v>
      </c>
      <c r="E63" s="31" t="s">
        <v>491</v>
      </c>
      <c r="F63" s="31" t="str">
        <f>IF(H63=1,INDEX('Match Results'!$G$6:$G$185,MATCH(A63,'Match Results'!$A$6:$A$185,0)),INDEX('Match Results'!$H$6:$H$185,MATCH(A63,'Match Results'!$A$6:$A$185,0)))</f>
        <v>B3</v>
      </c>
      <c r="G63" s="31" t="str">
        <f>IF(H63=1,INDEX('Match Results'!$H$6:$H$185,MATCH(A63,'Match Results'!$A$6:$A$185,0)),INDEX('Match Results'!$G$6:$G$185,MATCH(A63,'Match Results'!$A$6:$A$185,0)))</f>
        <v>B1</v>
      </c>
      <c r="H63" s="31">
        <v>2</v>
      </c>
      <c r="I63" s="31">
        <v>14</v>
      </c>
      <c r="J63" s="32"/>
      <c r="K63" s="31" t="str">
        <f>IF(J63="","",IFERROR(INDEX('Team Rosters'!$C$6:$C$205,MATCH(J63,'Team Rosters'!$B$6:$B$205,0)),"CODE NOT FOUND"))</f>
        <v/>
      </c>
      <c r="L63" s="31" t="str">
        <f t="shared" si="0"/>
        <v/>
      </c>
      <c r="M63" s="31" t="str">
        <f>IF(OR(J63="",C63&lt;&gt;"League",L63&lt;&gt;"VALID"),"",COUNTIFS($J$6:J63,J63,$G$6:G63,G63,$C$6:C63,"League"))</f>
        <v/>
      </c>
      <c r="N63" s="31" t="str">
        <f t="shared" si="1"/>
        <v/>
      </c>
      <c r="O63" s="37" t="str">
        <f t="shared" si="2"/>
        <v/>
      </c>
    </row>
    <row r="64" spans="1:15" ht="15">
      <c r="A64" s="30">
        <v>13</v>
      </c>
      <c r="B64" s="31" t="s">
        <v>493</v>
      </c>
      <c r="C64" s="31" t="s">
        <v>473</v>
      </c>
      <c r="D64" s="31" t="s">
        <v>471</v>
      </c>
      <c r="E64" s="31" t="s">
        <v>475</v>
      </c>
      <c r="F64" s="31" t="str">
        <f>IF(H64=1,INDEX('Match Results'!$G$6:$G$185,MATCH(A64,'Match Results'!$A$6:$A$185,0)),INDEX('Match Results'!$H$6:$H$185,MATCH(A64,'Match Results'!$A$6:$A$185,0)))</f>
        <v>A1</v>
      </c>
      <c r="G64" s="31" t="str">
        <f>IF(H64=1,INDEX('Match Results'!$H$6:$H$185,MATCH(A64,'Match Results'!$A$6:$A$185,0)),INDEX('Match Results'!$G$6:$G$185,MATCH(A64,'Match Results'!$A$6:$A$185,0)))</f>
        <v>A2</v>
      </c>
      <c r="H64" s="31">
        <v>1</v>
      </c>
      <c r="I64" s="31">
        <v>1</v>
      </c>
      <c r="J64" s="32"/>
      <c r="K64" s="31" t="str">
        <f>IF(J64="","",IFERROR(INDEX('Team Rosters'!$C$6:$C$205,MATCH(J64,'Team Rosters'!$B$6:$B$205,0)),"CODE NOT FOUND"))</f>
        <v/>
      </c>
      <c r="L64" s="31" t="str">
        <f t="shared" si="0"/>
        <v/>
      </c>
      <c r="M64" s="31" t="str">
        <f>IF(OR(J64="",C64&lt;&gt;"League",L64&lt;&gt;"VALID"),"",COUNTIFS($J$6:J64,J64,$G$6:G64,G64,$C$6:C64,"League"))</f>
        <v/>
      </c>
      <c r="N64" s="31" t="str">
        <f t="shared" si="1"/>
        <v/>
      </c>
      <c r="O64" s="37" t="str">
        <f t="shared" si="2"/>
        <v/>
      </c>
    </row>
    <row r="65" spans="1:15" ht="15">
      <c r="A65" s="30">
        <v>13</v>
      </c>
      <c r="B65" s="31" t="s">
        <v>493</v>
      </c>
      <c r="C65" s="31" t="s">
        <v>473</v>
      </c>
      <c r="D65" s="31" t="s">
        <v>471</v>
      </c>
      <c r="E65" s="31" t="s">
        <v>475</v>
      </c>
      <c r="F65" s="31" t="str">
        <f>IF(H65=1,INDEX('Match Results'!$G$6:$G$185,MATCH(A65,'Match Results'!$A$6:$A$185,0)),INDEX('Match Results'!$H$6:$H$185,MATCH(A65,'Match Results'!$A$6:$A$185,0)))</f>
        <v>A1</v>
      </c>
      <c r="G65" s="31" t="str">
        <f>IF(H65=1,INDEX('Match Results'!$H$6:$H$185,MATCH(A65,'Match Results'!$A$6:$A$185,0)),INDEX('Match Results'!$G$6:$G$185,MATCH(A65,'Match Results'!$A$6:$A$185,0)))</f>
        <v>A2</v>
      </c>
      <c r="H65" s="31">
        <v>1</v>
      </c>
      <c r="I65" s="31">
        <v>2</v>
      </c>
      <c r="J65" s="32"/>
      <c r="K65" s="31" t="str">
        <f>IF(J65="","",IFERROR(INDEX('Team Rosters'!$C$6:$C$205,MATCH(J65,'Team Rosters'!$B$6:$B$205,0)),"CODE NOT FOUND"))</f>
        <v/>
      </c>
      <c r="L65" s="31" t="str">
        <f t="shared" si="0"/>
        <v/>
      </c>
      <c r="M65" s="31" t="str">
        <f>IF(OR(J65="",C65&lt;&gt;"League",L65&lt;&gt;"VALID"),"",COUNTIFS($J$6:J65,J65,$G$6:G65,G65,$C$6:C65,"League"))</f>
        <v/>
      </c>
      <c r="N65" s="31" t="str">
        <f t="shared" si="1"/>
        <v/>
      </c>
      <c r="O65" s="37" t="str">
        <f t="shared" si="2"/>
        <v/>
      </c>
    </row>
    <row r="66" spans="1:15" ht="15">
      <c r="A66" s="30">
        <v>13</v>
      </c>
      <c r="B66" s="31" t="s">
        <v>493</v>
      </c>
      <c r="C66" s="31" t="s">
        <v>473</v>
      </c>
      <c r="D66" s="31" t="s">
        <v>471</v>
      </c>
      <c r="E66" s="31" t="s">
        <v>475</v>
      </c>
      <c r="F66" s="31" t="str">
        <f>IF(H66=1,INDEX('Match Results'!$G$6:$G$185,MATCH(A66,'Match Results'!$A$6:$A$185,0)),INDEX('Match Results'!$H$6:$H$185,MATCH(A66,'Match Results'!$A$6:$A$185,0)))</f>
        <v>A2</v>
      </c>
      <c r="G66" s="31" t="str">
        <f>IF(H66=1,INDEX('Match Results'!$H$6:$H$185,MATCH(A66,'Match Results'!$A$6:$A$185,0)),INDEX('Match Results'!$G$6:$G$185,MATCH(A66,'Match Results'!$A$6:$A$185,0)))</f>
        <v>A1</v>
      </c>
      <c r="H66" s="31">
        <v>2</v>
      </c>
      <c r="I66" s="31">
        <v>3</v>
      </c>
      <c r="J66" s="32"/>
      <c r="K66" s="31" t="str">
        <f>IF(J66="","",IFERROR(INDEX('Team Rosters'!$C$6:$C$205,MATCH(J66,'Team Rosters'!$B$6:$B$205,0)),"CODE NOT FOUND"))</f>
        <v/>
      </c>
      <c r="L66" s="31" t="str">
        <f t="shared" si="0"/>
        <v/>
      </c>
      <c r="M66" s="31" t="str">
        <f>IF(OR(J66="",C66&lt;&gt;"League",L66&lt;&gt;"VALID"),"",COUNTIFS($J$6:J66,J66,$G$6:G66,G66,$C$6:C66,"League"))</f>
        <v/>
      </c>
      <c r="N66" s="31" t="str">
        <f t="shared" si="1"/>
        <v/>
      </c>
      <c r="O66" s="37" t="str">
        <f t="shared" si="2"/>
        <v/>
      </c>
    </row>
    <row r="67" spans="1:15" ht="15">
      <c r="A67" s="30">
        <v>13</v>
      </c>
      <c r="B67" s="31" t="s">
        <v>493</v>
      </c>
      <c r="C67" s="31" t="s">
        <v>473</v>
      </c>
      <c r="D67" s="31" t="s">
        <v>471</v>
      </c>
      <c r="E67" s="31" t="s">
        <v>475</v>
      </c>
      <c r="F67" s="31" t="str">
        <f>IF(H67=1,INDEX('Match Results'!$G$6:$G$185,MATCH(A67,'Match Results'!$A$6:$A$185,0)),INDEX('Match Results'!$H$6:$H$185,MATCH(A67,'Match Results'!$A$6:$A$185,0)))</f>
        <v>A2</v>
      </c>
      <c r="G67" s="31" t="str">
        <f>IF(H67=1,INDEX('Match Results'!$H$6:$H$185,MATCH(A67,'Match Results'!$A$6:$A$185,0)),INDEX('Match Results'!$G$6:$G$185,MATCH(A67,'Match Results'!$A$6:$A$185,0)))</f>
        <v>A1</v>
      </c>
      <c r="H67" s="31">
        <v>2</v>
      </c>
      <c r="I67" s="31">
        <v>4</v>
      </c>
      <c r="J67" s="32"/>
      <c r="K67" s="31" t="str">
        <f>IF(J67="","",IFERROR(INDEX('Team Rosters'!$C$6:$C$205,MATCH(J67,'Team Rosters'!$B$6:$B$205,0)),"CODE NOT FOUND"))</f>
        <v/>
      </c>
      <c r="L67" s="31" t="str">
        <f t="shared" si="0"/>
        <v/>
      </c>
      <c r="M67" s="31" t="str">
        <f>IF(OR(J67="",C67&lt;&gt;"League",L67&lt;&gt;"VALID"),"",COUNTIFS($J$6:J67,J67,$G$6:G67,G67,$C$6:C67,"League"))</f>
        <v/>
      </c>
      <c r="N67" s="31" t="str">
        <f t="shared" si="1"/>
        <v/>
      </c>
      <c r="O67" s="37" t="str">
        <f t="shared" si="2"/>
        <v/>
      </c>
    </row>
    <row r="68" spans="1:15" ht="15">
      <c r="A68" s="30">
        <v>14</v>
      </c>
      <c r="B68" s="31" t="s">
        <v>493</v>
      </c>
      <c r="C68" s="31" t="s">
        <v>473</v>
      </c>
      <c r="D68" s="31" t="s">
        <v>471</v>
      </c>
      <c r="E68" s="31" t="s">
        <v>477</v>
      </c>
      <c r="F68" s="31" t="str">
        <f>IF(H68=1,INDEX('Match Results'!$G$6:$G$185,MATCH(A68,'Match Results'!$A$6:$A$185,0)),INDEX('Match Results'!$H$6:$H$185,MATCH(A68,'Match Results'!$A$6:$A$185,0)))</f>
        <v>A3</v>
      </c>
      <c r="G68" s="31" t="str">
        <f>IF(H68=1,INDEX('Match Results'!$H$6:$H$185,MATCH(A68,'Match Results'!$A$6:$A$185,0)),INDEX('Match Results'!$G$6:$G$185,MATCH(A68,'Match Results'!$A$6:$A$185,0)))</f>
        <v>A4</v>
      </c>
      <c r="H68" s="31">
        <v>1</v>
      </c>
      <c r="I68" s="31">
        <v>1</v>
      </c>
      <c r="J68" s="32"/>
      <c r="K68" s="31" t="str">
        <f>IF(J68="","",IFERROR(INDEX('Team Rosters'!$C$6:$C$205,MATCH(J68,'Team Rosters'!$B$6:$B$205,0)),"CODE NOT FOUND"))</f>
        <v/>
      </c>
      <c r="L68" s="31" t="str">
        <f t="shared" si="0"/>
        <v/>
      </c>
      <c r="M68" s="31" t="str">
        <f>IF(OR(J68="",C68&lt;&gt;"League",L68&lt;&gt;"VALID"),"",COUNTIFS($J$6:J68,J68,$G$6:G68,G68,$C$6:C68,"League"))</f>
        <v/>
      </c>
      <c r="N68" s="31" t="str">
        <f t="shared" si="1"/>
        <v/>
      </c>
      <c r="O68" s="37" t="str">
        <f t="shared" si="2"/>
        <v/>
      </c>
    </row>
    <row r="69" spans="1:15" ht="15">
      <c r="A69" s="30">
        <v>14</v>
      </c>
      <c r="B69" s="31" t="s">
        <v>493</v>
      </c>
      <c r="C69" s="31" t="s">
        <v>473</v>
      </c>
      <c r="D69" s="31" t="s">
        <v>471</v>
      </c>
      <c r="E69" s="31" t="s">
        <v>477</v>
      </c>
      <c r="F69" s="31" t="str">
        <f>IF(H69=1,INDEX('Match Results'!$G$6:$G$185,MATCH(A69,'Match Results'!$A$6:$A$185,0)),INDEX('Match Results'!$H$6:$H$185,MATCH(A69,'Match Results'!$A$6:$A$185,0)))</f>
        <v>A3</v>
      </c>
      <c r="G69" s="31" t="str">
        <f>IF(H69=1,INDEX('Match Results'!$H$6:$H$185,MATCH(A69,'Match Results'!$A$6:$A$185,0)),INDEX('Match Results'!$G$6:$G$185,MATCH(A69,'Match Results'!$A$6:$A$185,0)))</f>
        <v>A4</v>
      </c>
      <c r="H69" s="31">
        <v>1</v>
      </c>
      <c r="I69" s="31">
        <v>2</v>
      </c>
      <c r="J69" s="32"/>
      <c r="K69" s="31" t="str">
        <f>IF(J69="","",IFERROR(INDEX('Team Rosters'!$C$6:$C$205,MATCH(J69,'Team Rosters'!$B$6:$B$205,0)),"CODE NOT FOUND"))</f>
        <v/>
      </c>
      <c r="L69" s="31" t="str">
        <f t="shared" si="0"/>
        <v/>
      </c>
      <c r="M69" s="31" t="str">
        <f>IF(OR(J69="",C69&lt;&gt;"League",L69&lt;&gt;"VALID"),"",COUNTIFS($J$6:J69,J69,$G$6:G69,G69,$C$6:C69,"League"))</f>
        <v/>
      </c>
      <c r="N69" s="31" t="str">
        <f t="shared" si="1"/>
        <v/>
      </c>
      <c r="O69" s="37" t="str">
        <f t="shared" si="2"/>
        <v/>
      </c>
    </row>
    <row r="70" spans="1:15" ht="15">
      <c r="A70" s="30">
        <v>14</v>
      </c>
      <c r="B70" s="31" t="s">
        <v>493</v>
      </c>
      <c r="C70" s="31" t="s">
        <v>473</v>
      </c>
      <c r="D70" s="31" t="s">
        <v>471</v>
      </c>
      <c r="E70" s="31" t="s">
        <v>477</v>
      </c>
      <c r="F70" s="31" t="str">
        <f>IF(H70=1,INDEX('Match Results'!$G$6:$G$185,MATCH(A70,'Match Results'!$A$6:$A$185,0)),INDEX('Match Results'!$H$6:$H$185,MATCH(A70,'Match Results'!$A$6:$A$185,0)))</f>
        <v>A4</v>
      </c>
      <c r="G70" s="31" t="str">
        <f>IF(H70=1,INDEX('Match Results'!$H$6:$H$185,MATCH(A70,'Match Results'!$A$6:$A$185,0)),INDEX('Match Results'!$G$6:$G$185,MATCH(A70,'Match Results'!$A$6:$A$185,0)))</f>
        <v>A3</v>
      </c>
      <c r="H70" s="31">
        <v>2</v>
      </c>
      <c r="I70" s="31">
        <v>3</v>
      </c>
      <c r="J70" s="32"/>
      <c r="K70" s="31" t="str">
        <f>IF(J70="","",IFERROR(INDEX('Team Rosters'!$C$6:$C$205,MATCH(J70,'Team Rosters'!$B$6:$B$205,0)),"CODE NOT FOUND"))</f>
        <v/>
      </c>
      <c r="L70" s="31" t="str">
        <f t="shared" ref="L70:L133" si="3">IF(J70="","",IF(AND(K70&lt;&gt;"",K70&lt;&gt;"CODE NOT FOUND",LEFT(J70,2)=F70),"VALID","CHECK ROSTER"))</f>
        <v/>
      </c>
      <c r="M70" s="31" t="str">
        <f>IF(OR(J70="",C70&lt;&gt;"League",L70&lt;&gt;"VALID"),"",COUNTIFS($J$6:J70,J70,$G$6:G70,G70,$C$6:C70,"League"))</f>
        <v/>
      </c>
      <c r="N70" s="31" t="str">
        <f t="shared" ref="N70:N133" si="4">IF(J70="","",IF(L70&lt;&gt;"VALID","CHECK ROSTER",IF(C70&lt;&gt;"League","NOT APPLICABLE",IF(M70&lt;=2,"OK","VIOLATION"))))</f>
        <v/>
      </c>
      <c r="O70" s="37" t="str">
        <f t="shared" ref="O70:O133" si="5">IF(N70="VIOLATION",K70&amp;" has played "&amp;M70&amp;" league matches against "&amp;G70&amp;"; limit is 2.","")</f>
        <v/>
      </c>
    </row>
    <row r="71" spans="1:15" ht="15">
      <c r="A71" s="30">
        <v>14</v>
      </c>
      <c r="B71" s="31" t="s">
        <v>493</v>
      </c>
      <c r="C71" s="31" t="s">
        <v>473</v>
      </c>
      <c r="D71" s="31" t="s">
        <v>471</v>
      </c>
      <c r="E71" s="31" t="s">
        <v>477</v>
      </c>
      <c r="F71" s="31" t="str">
        <f>IF(H71=1,INDEX('Match Results'!$G$6:$G$185,MATCH(A71,'Match Results'!$A$6:$A$185,0)),INDEX('Match Results'!$H$6:$H$185,MATCH(A71,'Match Results'!$A$6:$A$185,0)))</f>
        <v>A4</v>
      </c>
      <c r="G71" s="31" t="str">
        <f>IF(H71=1,INDEX('Match Results'!$H$6:$H$185,MATCH(A71,'Match Results'!$A$6:$A$185,0)),INDEX('Match Results'!$G$6:$G$185,MATCH(A71,'Match Results'!$A$6:$A$185,0)))</f>
        <v>A3</v>
      </c>
      <c r="H71" s="31">
        <v>2</v>
      </c>
      <c r="I71" s="31">
        <v>4</v>
      </c>
      <c r="J71" s="32"/>
      <c r="K71" s="31" t="str">
        <f>IF(J71="","",IFERROR(INDEX('Team Rosters'!$C$6:$C$205,MATCH(J71,'Team Rosters'!$B$6:$B$205,0)),"CODE NOT FOUND"))</f>
        <v/>
      </c>
      <c r="L71" s="31" t="str">
        <f t="shared" si="3"/>
        <v/>
      </c>
      <c r="M71" s="31" t="str">
        <f>IF(OR(J71="",C71&lt;&gt;"League",L71&lt;&gt;"VALID"),"",COUNTIFS($J$6:J71,J71,$G$6:G71,G71,$C$6:C71,"League"))</f>
        <v/>
      </c>
      <c r="N71" s="31" t="str">
        <f t="shared" si="4"/>
        <v/>
      </c>
      <c r="O71" s="37" t="str">
        <f t="shared" si="5"/>
        <v/>
      </c>
    </row>
    <row r="72" spans="1:15" ht="15">
      <c r="A72" s="30">
        <v>15</v>
      </c>
      <c r="B72" s="31" t="s">
        <v>493</v>
      </c>
      <c r="C72" s="31" t="s">
        <v>473</v>
      </c>
      <c r="D72" s="31" t="s">
        <v>471</v>
      </c>
      <c r="E72" s="31" t="s">
        <v>472</v>
      </c>
      <c r="F72" s="31" t="str">
        <f>IF(H72=1,INDEX('Match Results'!$G$6:$G$185,MATCH(A72,'Match Results'!$A$6:$A$185,0)),INDEX('Match Results'!$H$6:$H$185,MATCH(A72,'Match Results'!$A$6:$A$185,0)))</f>
        <v>B1</v>
      </c>
      <c r="G72" s="31" t="str">
        <f>IF(H72=1,INDEX('Match Results'!$H$6:$H$185,MATCH(A72,'Match Results'!$A$6:$A$185,0)),INDEX('Match Results'!$G$6:$G$185,MATCH(A72,'Match Results'!$A$6:$A$185,0)))</f>
        <v>B3</v>
      </c>
      <c r="H72" s="31">
        <v>1</v>
      </c>
      <c r="I72" s="31">
        <v>1</v>
      </c>
      <c r="J72" s="32"/>
      <c r="K72" s="31" t="str">
        <f>IF(J72="","",IFERROR(INDEX('Team Rosters'!$C$6:$C$205,MATCH(J72,'Team Rosters'!$B$6:$B$205,0)),"CODE NOT FOUND"))</f>
        <v/>
      </c>
      <c r="L72" s="31" t="str">
        <f t="shared" si="3"/>
        <v/>
      </c>
      <c r="M72" s="31" t="str">
        <f>IF(OR(J72="",C72&lt;&gt;"League",L72&lt;&gt;"VALID"),"",COUNTIFS($J$6:J72,J72,$G$6:G72,G72,$C$6:C72,"League"))</f>
        <v/>
      </c>
      <c r="N72" s="31" t="str">
        <f t="shared" si="4"/>
        <v/>
      </c>
      <c r="O72" s="37" t="str">
        <f t="shared" si="5"/>
        <v/>
      </c>
    </row>
    <row r="73" spans="1:15" ht="15">
      <c r="A73" s="30">
        <v>15</v>
      </c>
      <c r="B73" s="31" t="s">
        <v>493</v>
      </c>
      <c r="C73" s="31" t="s">
        <v>473</v>
      </c>
      <c r="D73" s="31" t="s">
        <v>471</v>
      </c>
      <c r="E73" s="31" t="s">
        <v>472</v>
      </c>
      <c r="F73" s="31" t="str">
        <f>IF(H73=1,INDEX('Match Results'!$G$6:$G$185,MATCH(A73,'Match Results'!$A$6:$A$185,0)),INDEX('Match Results'!$H$6:$H$185,MATCH(A73,'Match Results'!$A$6:$A$185,0)))</f>
        <v>B1</v>
      </c>
      <c r="G73" s="31" t="str">
        <f>IF(H73=1,INDEX('Match Results'!$H$6:$H$185,MATCH(A73,'Match Results'!$A$6:$A$185,0)),INDEX('Match Results'!$G$6:$G$185,MATCH(A73,'Match Results'!$A$6:$A$185,0)))</f>
        <v>B3</v>
      </c>
      <c r="H73" s="31">
        <v>1</v>
      </c>
      <c r="I73" s="31">
        <v>2</v>
      </c>
      <c r="J73" s="32"/>
      <c r="K73" s="31" t="str">
        <f>IF(J73="","",IFERROR(INDEX('Team Rosters'!$C$6:$C$205,MATCH(J73,'Team Rosters'!$B$6:$B$205,0)),"CODE NOT FOUND"))</f>
        <v/>
      </c>
      <c r="L73" s="31" t="str">
        <f t="shared" si="3"/>
        <v/>
      </c>
      <c r="M73" s="31" t="str">
        <f>IF(OR(J73="",C73&lt;&gt;"League",L73&lt;&gt;"VALID"),"",COUNTIFS($J$6:J73,J73,$G$6:G73,G73,$C$6:C73,"League"))</f>
        <v/>
      </c>
      <c r="N73" s="31" t="str">
        <f t="shared" si="4"/>
        <v/>
      </c>
      <c r="O73" s="37" t="str">
        <f t="shared" si="5"/>
        <v/>
      </c>
    </row>
    <row r="74" spans="1:15" ht="15">
      <c r="A74" s="30">
        <v>15</v>
      </c>
      <c r="B74" s="31" t="s">
        <v>493</v>
      </c>
      <c r="C74" s="31" t="s">
        <v>473</v>
      </c>
      <c r="D74" s="31" t="s">
        <v>471</v>
      </c>
      <c r="E74" s="31" t="s">
        <v>472</v>
      </c>
      <c r="F74" s="31" t="str">
        <f>IF(H74=1,INDEX('Match Results'!$G$6:$G$185,MATCH(A74,'Match Results'!$A$6:$A$185,0)),INDEX('Match Results'!$H$6:$H$185,MATCH(A74,'Match Results'!$A$6:$A$185,0)))</f>
        <v>B3</v>
      </c>
      <c r="G74" s="31" t="str">
        <f>IF(H74=1,INDEX('Match Results'!$H$6:$H$185,MATCH(A74,'Match Results'!$A$6:$A$185,0)),INDEX('Match Results'!$G$6:$G$185,MATCH(A74,'Match Results'!$A$6:$A$185,0)))</f>
        <v>B1</v>
      </c>
      <c r="H74" s="31">
        <v>2</v>
      </c>
      <c r="I74" s="31">
        <v>3</v>
      </c>
      <c r="J74" s="32"/>
      <c r="K74" s="31" t="str">
        <f>IF(J74="","",IFERROR(INDEX('Team Rosters'!$C$6:$C$205,MATCH(J74,'Team Rosters'!$B$6:$B$205,0)),"CODE NOT FOUND"))</f>
        <v/>
      </c>
      <c r="L74" s="31" t="str">
        <f t="shared" si="3"/>
        <v/>
      </c>
      <c r="M74" s="31" t="str">
        <f>IF(OR(J74="",C74&lt;&gt;"League",L74&lt;&gt;"VALID"),"",COUNTIFS($J$6:J74,J74,$G$6:G74,G74,$C$6:C74,"League"))</f>
        <v/>
      </c>
      <c r="N74" s="31" t="str">
        <f t="shared" si="4"/>
        <v/>
      </c>
      <c r="O74" s="37" t="str">
        <f t="shared" si="5"/>
        <v/>
      </c>
    </row>
    <row r="75" spans="1:15" ht="15">
      <c r="A75" s="30">
        <v>15</v>
      </c>
      <c r="B75" s="31" t="s">
        <v>493</v>
      </c>
      <c r="C75" s="31" t="s">
        <v>473</v>
      </c>
      <c r="D75" s="31" t="s">
        <v>471</v>
      </c>
      <c r="E75" s="31" t="s">
        <v>472</v>
      </c>
      <c r="F75" s="31" t="str">
        <f>IF(H75=1,INDEX('Match Results'!$G$6:$G$185,MATCH(A75,'Match Results'!$A$6:$A$185,0)),INDEX('Match Results'!$H$6:$H$185,MATCH(A75,'Match Results'!$A$6:$A$185,0)))</f>
        <v>B3</v>
      </c>
      <c r="G75" s="31" t="str">
        <f>IF(H75=1,INDEX('Match Results'!$H$6:$H$185,MATCH(A75,'Match Results'!$A$6:$A$185,0)),INDEX('Match Results'!$G$6:$G$185,MATCH(A75,'Match Results'!$A$6:$A$185,0)))</f>
        <v>B1</v>
      </c>
      <c r="H75" s="31">
        <v>2</v>
      </c>
      <c r="I75" s="31">
        <v>4</v>
      </c>
      <c r="J75" s="32"/>
      <c r="K75" s="31" t="str">
        <f>IF(J75="","",IFERROR(INDEX('Team Rosters'!$C$6:$C$205,MATCH(J75,'Team Rosters'!$B$6:$B$205,0)),"CODE NOT FOUND"))</f>
        <v/>
      </c>
      <c r="L75" s="31" t="str">
        <f t="shared" si="3"/>
        <v/>
      </c>
      <c r="M75" s="31" t="str">
        <f>IF(OR(J75="",C75&lt;&gt;"League",L75&lt;&gt;"VALID"),"",COUNTIFS($J$6:J75,J75,$G$6:G75,G75,$C$6:C75,"League"))</f>
        <v/>
      </c>
      <c r="N75" s="31" t="str">
        <f t="shared" si="4"/>
        <v/>
      </c>
      <c r="O75" s="37" t="str">
        <f t="shared" si="5"/>
        <v/>
      </c>
    </row>
    <row r="76" spans="1:15" ht="15">
      <c r="A76" s="30">
        <v>16</v>
      </c>
      <c r="B76" s="31" t="s">
        <v>493</v>
      </c>
      <c r="C76" s="31" t="s">
        <v>473</v>
      </c>
      <c r="D76" s="31" t="s">
        <v>479</v>
      </c>
      <c r="E76" s="31" t="s">
        <v>477</v>
      </c>
      <c r="F76" s="31" t="str">
        <f>IF(H76=1,INDEX('Match Results'!$G$6:$G$185,MATCH(A76,'Match Results'!$A$6:$A$185,0)),INDEX('Match Results'!$H$6:$H$185,MATCH(A76,'Match Results'!$A$6:$A$185,0)))</f>
        <v>A1</v>
      </c>
      <c r="G76" s="31" t="str">
        <f>IF(H76=1,INDEX('Match Results'!$H$6:$H$185,MATCH(A76,'Match Results'!$A$6:$A$185,0)),INDEX('Match Results'!$G$6:$G$185,MATCH(A76,'Match Results'!$A$6:$A$185,0)))</f>
        <v>A4</v>
      </c>
      <c r="H76" s="31">
        <v>1</v>
      </c>
      <c r="I76" s="31">
        <v>1</v>
      </c>
      <c r="J76" s="32"/>
      <c r="K76" s="31" t="str">
        <f>IF(J76="","",IFERROR(INDEX('Team Rosters'!$C$6:$C$205,MATCH(J76,'Team Rosters'!$B$6:$B$205,0)),"CODE NOT FOUND"))</f>
        <v/>
      </c>
      <c r="L76" s="31" t="str">
        <f t="shared" si="3"/>
        <v/>
      </c>
      <c r="M76" s="31" t="str">
        <f>IF(OR(J76="",C76&lt;&gt;"League",L76&lt;&gt;"VALID"),"",COUNTIFS($J$6:J76,J76,$G$6:G76,G76,$C$6:C76,"League"))</f>
        <v/>
      </c>
      <c r="N76" s="31" t="str">
        <f t="shared" si="4"/>
        <v/>
      </c>
      <c r="O76" s="37" t="str">
        <f t="shared" si="5"/>
        <v/>
      </c>
    </row>
    <row r="77" spans="1:15" ht="15">
      <c r="A77" s="30">
        <v>16</v>
      </c>
      <c r="B77" s="31" t="s">
        <v>493</v>
      </c>
      <c r="C77" s="31" t="s">
        <v>473</v>
      </c>
      <c r="D77" s="31" t="s">
        <v>479</v>
      </c>
      <c r="E77" s="31" t="s">
        <v>477</v>
      </c>
      <c r="F77" s="31" t="str">
        <f>IF(H77=1,INDEX('Match Results'!$G$6:$G$185,MATCH(A77,'Match Results'!$A$6:$A$185,0)),INDEX('Match Results'!$H$6:$H$185,MATCH(A77,'Match Results'!$A$6:$A$185,0)))</f>
        <v>A1</v>
      </c>
      <c r="G77" s="31" t="str">
        <f>IF(H77=1,INDEX('Match Results'!$H$6:$H$185,MATCH(A77,'Match Results'!$A$6:$A$185,0)),INDEX('Match Results'!$G$6:$G$185,MATCH(A77,'Match Results'!$A$6:$A$185,0)))</f>
        <v>A4</v>
      </c>
      <c r="H77" s="31">
        <v>1</v>
      </c>
      <c r="I77" s="31">
        <v>2</v>
      </c>
      <c r="J77" s="32"/>
      <c r="K77" s="31" t="str">
        <f>IF(J77="","",IFERROR(INDEX('Team Rosters'!$C$6:$C$205,MATCH(J77,'Team Rosters'!$B$6:$B$205,0)),"CODE NOT FOUND"))</f>
        <v/>
      </c>
      <c r="L77" s="31" t="str">
        <f t="shared" si="3"/>
        <v/>
      </c>
      <c r="M77" s="31" t="str">
        <f>IF(OR(J77="",C77&lt;&gt;"League",L77&lt;&gt;"VALID"),"",COUNTIFS($J$6:J77,J77,$G$6:G77,G77,$C$6:C77,"League"))</f>
        <v/>
      </c>
      <c r="N77" s="31" t="str">
        <f t="shared" si="4"/>
        <v/>
      </c>
      <c r="O77" s="37" t="str">
        <f t="shared" si="5"/>
        <v/>
      </c>
    </row>
    <row r="78" spans="1:15" ht="15">
      <c r="A78" s="30">
        <v>16</v>
      </c>
      <c r="B78" s="31" t="s">
        <v>493</v>
      </c>
      <c r="C78" s="31" t="s">
        <v>473</v>
      </c>
      <c r="D78" s="31" t="s">
        <v>479</v>
      </c>
      <c r="E78" s="31" t="s">
        <v>477</v>
      </c>
      <c r="F78" s="31" t="str">
        <f>IF(H78=1,INDEX('Match Results'!$G$6:$G$185,MATCH(A78,'Match Results'!$A$6:$A$185,0)),INDEX('Match Results'!$H$6:$H$185,MATCH(A78,'Match Results'!$A$6:$A$185,0)))</f>
        <v>A4</v>
      </c>
      <c r="G78" s="31" t="str">
        <f>IF(H78=1,INDEX('Match Results'!$H$6:$H$185,MATCH(A78,'Match Results'!$A$6:$A$185,0)),INDEX('Match Results'!$G$6:$G$185,MATCH(A78,'Match Results'!$A$6:$A$185,0)))</f>
        <v>A1</v>
      </c>
      <c r="H78" s="31">
        <v>2</v>
      </c>
      <c r="I78" s="31">
        <v>3</v>
      </c>
      <c r="J78" s="50"/>
      <c r="K78" s="31" t="str">
        <f>IF(J78="","",IFERROR(INDEX('Team Rosters'!$C$6:$C$205,MATCH(J78,'Team Rosters'!$B$6:$B$205,0)),"CODE NOT FOUND"))</f>
        <v/>
      </c>
      <c r="L78" s="31" t="str">
        <f t="shared" si="3"/>
        <v/>
      </c>
      <c r="M78" s="31" t="str">
        <f>IF(OR(J78="",C78&lt;&gt;"League",L78&lt;&gt;"VALID"),"",COUNTIFS($J$6:J78,J78,$G$6:G78,G78,$C$6:C78,"League"))</f>
        <v/>
      </c>
      <c r="N78" s="31" t="str">
        <f t="shared" si="4"/>
        <v/>
      </c>
      <c r="O78" s="37" t="str">
        <f t="shared" si="5"/>
        <v/>
      </c>
    </row>
    <row r="79" spans="1:15" ht="15">
      <c r="A79" s="30">
        <v>16</v>
      </c>
      <c r="B79" s="31" t="s">
        <v>493</v>
      </c>
      <c r="C79" s="31" t="s">
        <v>473</v>
      </c>
      <c r="D79" s="31" t="s">
        <v>479</v>
      </c>
      <c r="E79" s="31" t="s">
        <v>477</v>
      </c>
      <c r="F79" s="31" t="str">
        <f>IF(H79=1,INDEX('Match Results'!$G$6:$G$185,MATCH(A79,'Match Results'!$A$6:$A$185,0)),INDEX('Match Results'!$H$6:$H$185,MATCH(A79,'Match Results'!$A$6:$A$185,0)))</f>
        <v>A4</v>
      </c>
      <c r="G79" s="31" t="str">
        <f>IF(H79=1,INDEX('Match Results'!$H$6:$H$185,MATCH(A79,'Match Results'!$A$6:$A$185,0)),INDEX('Match Results'!$G$6:$G$185,MATCH(A79,'Match Results'!$A$6:$A$185,0)))</f>
        <v>A1</v>
      </c>
      <c r="H79" s="31">
        <v>2</v>
      </c>
      <c r="I79" s="31">
        <v>4</v>
      </c>
      <c r="J79" s="32"/>
      <c r="K79" s="31" t="str">
        <f>IF(J79="","",IFERROR(INDEX('Team Rosters'!$C$6:$C$205,MATCH(J79,'Team Rosters'!$B$6:$B$205,0)),"CODE NOT FOUND"))</f>
        <v/>
      </c>
      <c r="L79" s="31" t="str">
        <f t="shared" si="3"/>
        <v/>
      </c>
      <c r="M79" s="31" t="str">
        <f>IF(OR(J79="",C79&lt;&gt;"League",L79&lt;&gt;"VALID"),"",COUNTIFS($J$6:J79,J79,$G$6:G79,G79,$C$6:C79,"League"))</f>
        <v/>
      </c>
      <c r="N79" s="31" t="str">
        <f t="shared" si="4"/>
        <v/>
      </c>
      <c r="O79" s="37" t="str">
        <f t="shared" si="5"/>
        <v/>
      </c>
    </row>
    <row r="80" spans="1:15" ht="15">
      <c r="A80" s="30">
        <v>17</v>
      </c>
      <c r="B80" s="31" t="s">
        <v>493</v>
      </c>
      <c r="C80" s="31" t="s">
        <v>473</v>
      </c>
      <c r="D80" s="31" t="s">
        <v>479</v>
      </c>
      <c r="E80" s="31" t="s">
        <v>472</v>
      </c>
      <c r="F80" s="31" t="str">
        <f>IF(H80=1,INDEX('Match Results'!$G$6:$G$185,MATCH(A80,'Match Results'!$A$6:$A$185,0)),INDEX('Match Results'!$H$6:$H$185,MATCH(A80,'Match Results'!$A$6:$A$185,0)))</f>
        <v>B1</v>
      </c>
      <c r="G80" s="31" t="str">
        <f>IF(H80=1,INDEX('Match Results'!$H$6:$H$185,MATCH(A80,'Match Results'!$A$6:$A$185,0)),INDEX('Match Results'!$G$6:$G$185,MATCH(A80,'Match Results'!$A$6:$A$185,0)))</f>
        <v>B4</v>
      </c>
      <c r="H80" s="31">
        <v>1</v>
      </c>
      <c r="I80" s="31">
        <v>1</v>
      </c>
      <c r="J80" s="48"/>
      <c r="K80" s="31" t="str">
        <f>IF(J80="","",IFERROR(INDEX('Team Rosters'!$C$6:$C$205,MATCH(J80,'Team Rosters'!$B$6:$B$205,0)),"CODE NOT FOUND"))</f>
        <v/>
      </c>
      <c r="L80" s="31" t="str">
        <f t="shared" si="3"/>
        <v/>
      </c>
      <c r="M80" s="31" t="str">
        <f>IF(OR(J80="",C80&lt;&gt;"League",L80&lt;&gt;"VALID"),"",COUNTIFS($J$6:J80,J80,$G$6:G80,G80,$C$6:C80,"League"))</f>
        <v/>
      </c>
      <c r="N80" s="31" t="str">
        <f t="shared" si="4"/>
        <v/>
      </c>
      <c r="O80" s="37" t="str">
        <f t="shared" si="5"/>
        <v/>
      </c>
    </row>
    <row r="81" spans="1:15" ht="15">
      <c r="A81" s="30">
        <v>17</v>
      </c>
      <c r="B81" s="31" t="s">
        <v>493</v>
      </c>
      <c r="C81" s="31" t="s">
        <v>473</v>
      </c>
      <c r="D81" s="31" t="s">
        <v>479</v>
      </c>
      <c r="E81" s="31" t="s">
        <v>472</v>
      </c>
      <c r="F81" s="31" t="str">
        <f>IF(H81=1,INDEX('Match Results'!$G$6:$G$185,MATCH(A81,'Match Results'!$A$6:$A$185,0)),INDEX('Match Results'!$H$6:$H$185,MATCH(A81,'Match Results'!$A$6:$A$185,0)))</f>
        <v>B1</v>
      </c>
      <c r="G81" s="31" t="str">
        <f>IF(H81=1,INDEX('Match Results'!$H$6:$H$185,MATCH(A81,'Match Results'!$A$6:$A$185,0)),INDEX('Match Results'!$G$6:$G$185,MATCH(A81,'Match Results'!$A$6:$A$185,0)))</f>
        <v>B4</v>
      </c>
      <c r="H81" s="31">
        <v>1</v>
      </c>
      <c r="I81" s="31">
        <v>2</v>
      </c>
      <c r="J81" s="48"/>
      <c r="K81" s="31" t="str">
        <f>IF(J81="","",IFERROR(INDEX('Team Rosters'!$C$6:$C$205,MATCH(J81,'Team Rosters'!$B$6:$B$205,0)),"CODE NOT FOUND"))</f>
        <v/>
      </c>
      <c r="L81" s="31" t="str">
        <f t="shared" si="3"/>
        <v/>
      </c>
      <c r="M81" s="31" t="str">
        <f>IF(OR(J81="",C81&lt;&gt;"League",L81&lt;&gt;"VALID"),"",COUNTIFS($J$6:J81,J81,$G$6:G81,G81,$C$6:C81,"League"))</f>
        <v/>
      </c>
      <c r="N81" s="31" t="str">
        <f t="shared" si="4"/>
        <v/>
      </c>
      <c r="O81" s="37" t="str">
        <f t="shared" si="5"/>
        <v/>
      </c>
    </row>
    <row r="82" spans="1:15" ht="15">
      <c r="A82" s="30">
        <v>17</v>
      </c>
      <c r="B82" s="31" t="s">
        <v>493</v>
      </c>
      <c r="C82" s="31" t="s">
        <v>473</v>
      </c>
      <c r="D82" s="31" t="s">
        <v>479</v>
      </c>
      <c r="E82" s="31" t="s">
        <v>472</v>
      </c>
      <c r="F82" s="31" t="str">
        <f>IF(H82=1,INDEX('Match Results'!$G$6:$G$185,MATCH(A82,'Match Results'!$A$6:$A$185,0)),INDEX('Match Results'!$H$6:$H$185,MATCH(A82,'Match Results'!$A$6:$A$185,0)))</f>
        <v>B4</v>
      </c>
      <c r="G82" s="31" t="str">
        <f>IF(H82=1,INDEX('Match Results'!$H$6:$H$185,MATCH(A82,'Match Results'!$A$6:$A$185,0)),INDEX('Match Results'!$G$6:$G$185,MATCH(A82,'Match Results'!$A$6:$A$185,0)))</f>
        <v>B1</v>
      </c>
      <c r="H82" s="31">
        <v>2</v>
      </c>
      <c r="I82" s="31">
        <v>3</v>
      </c>
      <c r="J82" s="48"/>
      <c r="K82" s="31" t="str">
        <f>IF(J82="","",IFERROR(INDEX('Team Rosters'!$C$6:$C$205,MATCH(J82,'Team Rosters'!$B$6:$B$205,0)),"CODE NOT FOUND"))</f>
        <v/>
      </c>
      <c r="L82" s="31" t="str">
        <f t="shared" si="3"/>
        <v/>
      </c>
      <c r="M82" s="31" t="str">
        <f>IF(OR(J82="",C82&lt;&gt;"League",L82&lt;&gt;"VALID"),"",COUNTIFS($J$6:J82,J82,$G$6:G82,G82,$C$6:C82,"League"))</f>
        <v/>
      </c>
      <c r="N82" s="31" t="str">
        <f t="shared" si="4"/>
        <v/>
      </c>
      <c r="O82" s="37" t="str">
        <f t="shared" si="5"/>
        <v/>
      </c>
    </row>
    <row r="83" spans="1:15" ht="15">
      <c r="A83" s="30">
        <v>17</v>
      </c>
      <c r="B83" s="31" t="s">
        <v>493</v>
      </c>
      <c r="C83" s="31" t="s">
        <v>473</v>
      </c>
      <c r="D83" s="31" t="s">
        <v>479</v>
      </c>
      <c r="E83" s="31" t="s">
        <v>472</v>
      </c>
      <c r="F83" s="31" t="str">
        <f>IF(H83=1,INDEX('Match Results'!$G$6:$G$185,MATCH(A83,'Match Results'!$A$6:$A$185,0)),INDEX('Match Results'!$H$6:$H$185,MATCH(A83,'Match Results'!$A$6:$A$185,0)))</f>
        <v>B4</v>
      </c>
      <c r="G83" s="31" t="str">
        <f>IF(H83=1,INDEX('Match Results'!$H$6:$H$185,MATCH(A83,'Match Results'!$A$6:$A$185,0)),INDEX('Match Results'!$G$6:$G$185,MATCH(A83,'Match Results'!$A$6:$A$185,0)))</f>
        <v>B1</v>
      </c>
      <c r="H83" s="31">
        <v>2</v>
      </c>
      <c r="I83" s="31">
        <v>4</v>
      </c>
      <c r="J83" s="32"/>
      <c r="K83" s="31" t="str">
        <f>IF(J83="","",IFERROR(INDEX('Team Rosters'!$C$6:$C$205,MATCH(J83,'Team Rosters'!$B$6:$B$205,0)),"CODE NOT FOUND"))</f>
        <v/>
      </c>
      <c r="L83" s="31" t="str">
        <f t="shared" si="3"/>
        <v/>
      </c>
      <c r="M83" s="31" t="str">
        <f>IF(OR(J83="",C83&lt;&gt;"League",L83&lt;&gt;"VALID"),"",COUNTIFS($J$6:J83,J83,$G$6:G83,G83,$C$6:C83,"League"))</f>
        <v/>
      </c>
      <c r="N83" s="31" t="str">
        <f t="shared" si="4"/>
        <v/>
      </c>
      <c r="O83" s="37" t="str">
        <f t="shared" si="5"/>
        <v/>
      </c>
    </row>
    <row r="84" spans="1:15" ht="15">
      <c r="A84" s="30">
        <v>18</v>
      </c>
      <c r="B84" s="31" t="s">
        <v>493</v>
      </c>
      <c r="C84" s="31" t="s">
        <v>473</v>
      </c>
      <c r="D84" s="31" t="s">
        <v>479</v>
      </c>
      <c r="E84" s="31" t="s">
        <v>475</v>
      </c>
      <c r="F84" s="31" t="str">
        <f>IF(H84=1,INDEX('Match Results'!$G$6:$G$185,MATCH(A84,'Match Results'!$A$6:$A$185,0)),INDEX('Match Results'!$H$6:$H$185,MATCH(A84,'Match Results'!$A$6:$A$185,0)))</f>
        <v>B2</v>
      </c>
      <c r="G84" s="31" t="str">
        <f>IF(H84=1,INDEX('Match Results'!$H$6:$H$185,MATCH(A84,'Match Results'!$A$6:$A$185,0)),INDEX('Match Results'!$G$6:$G$185,MATCH(A84,'Match Results'!$A$6:$A$185,0)))</f>
        <v>B3</v>
      </c>
      <c r="H84" s="31">
        <v>1</v>
      </c>
      <c r="I84" s="31">
        <v>1</v>
      </c>
      <c r="J84" s="32"/>
      <c r="K84" s="31" t="str">
        <f>IF(J84="","",IFERROR(INDEX('Team Rosters'!$C$6:$C$205,MATCH(J84,'Team Rosters'!$B$6:$B$205,0)),"CODE NOT FOUND"))</f>
        <v/>
      </c>
      <c r="L84" s="31" t="str">
        <f t="shared" si="3"/>
        <v/>
      </c>
      <c r="M84" s="31" t="str">
        <f>IF(OR(J84="",C84&lt;&gt;"League",L84&lt;&gt;"VALID"),"",COUNTIFS($J$6:J84,J84,$G$6:G84,G84,$C$6:C84,"League"))</f>
        <v/>
      </c>
      <c r="N84" s="31" t="str">
        <f t="shared" si="4"/>
        <v/>
      </c>
      <c r="O84" s="37" t="str">
        <f t="shared" si="5"/>
        <v/>
      </c>
    </row>
    <row r="85" spans="1:15" ht="15">
      <c r="A85" s="30">
        <v>18</v>
      </c>
      <c r="B85" s="31" t="s">
        <v>493</v>
      </c>
      <c r="C85" s="31" t="s">
        <v>473</v>
      </c>
      <c r="D85" s="31" t="s">
        <v>479</v>
      </c>
      <c r="E85" s="31" t="s">
        <v>475</v>
      </c>
      <c r="F85" s="31" t="str">
        <f>IF(H85=1,INDEX('Match Results'!$G$6:$G$185,MATCH(A85,'Match Results'!$A$6:$A$185,0)),INDEX('Match Results'!$H$6:$H$185,MATCH(A85,'Match Results'!$A$6:$A$185,0)))</f>
        <v>B2</v>
      </c>
      <c r="G85" s="31" t="str">
        <f>IF(H85=1,INDEX('Match Results'!$H$6:$H$185,MATCH(A85,'Match Results'!$A$6:$A$185,0)),INDEX('Match Results'!$G$6:$G$185,MATCH(A85,'Match Results'!$A$6:$A$185,0)))</f>
        <v>B3</v>
      </c>
      <c r="H85" s="31">
        <v>1</v>
      </c>
      <c r="I85" s="31">
        <v>2</v>
      </c>
      <c r="J85" s="32"/>
      <c r="K85" s="31" t="str">
        <f>IF(J85="","",IFERROR(INDEX('Team Rosters'!$C$6:$C$205,MATCH(J85,'Team Rosters'!$B$6:$B$205,0)),"CODE NOT FOUND"))</f>
        <v/>
      </c>
      <c r="L85" s="31" t="str">
        <f t="shared" si="3"/>
        <v/>
      </c>
      <c r="M85" s="31" t="str">
        <f>IF(OR(J85="",C85&lt;&gt;"League",L85&lt;&gt;"VALID"),"",COUNTIFS($J$6:J85,J85,$G$6:G85,G85,$C$6:C85,"League"))</f>
        <v/>
      </c>
      <c r="N85" s="31" t="str">
        <f t="shared" si="4"/>
        <v/>
      </c>
      <c r="O85" s="37" t="str">
        <f t="shared" si="5"/>
        <v/>
      </c>
    </row>
    <row r="86" spans="1:15" ht="15">
      <c r="A86" s="30">
        <v>18</v>
      </c>
      <c r="B86" s="31" t="s">
        <v>493</v>
      </c>
      <c r="C86" s="31" t="s">
        <v>473</v>
      </c>
      <c r="D86" s="31" t="s">
        <v>479</v>
      </c>
      <c r="E86" s="31" t="s">
        <v>475</v>
      </c>
      <c r="F86" s="31" t="str">
        <f>IF(H86=1,INDEX('Match Results'!$G$6:$G$185,MATCH(A86,'Match Results'!$A$6:$A$185,0)),INDEX('Match Results'!$H$6:$H$185,MATCH(A86,'Match Results'!$A$6:$A$185,0)))</f>
        <v>B3</v>
      </c>
      <c r="G86" s="31" t="str">
        <f>IF(H86=1,INDEX('Match Results'!$H$6:$H$185,MATCH(A86,'Match Results'!$A$6:$A$185,0)),INDEX('Match Results'!$G$6:$G$185,MATCH(A86,'Match Results'!$A$6:$A$185,0)))</f>
        <v>B2</v>
      </c>
      <c r="H86" s="31">
        <v>2</v>
      </c>
      <c r="I86" s="31">
        <v>3</v>
      </c>
      <c r="J86" s="32"/>
      <c r="K86" s="31" t="str">
        <f>IF(J86="","",IFERROR(INDEX('Team Rosters'!$C$6:$C$205,MATCH(J86,'Team Rosters'!$B$6:$B$205,0)),"CODE NOT FOUND"))</f>
        <v/>
      </c>
      <c r="L86" s="31" t="str">
        <f t="shared" si="3"/>
        <v/>
      </c>
      <c r="M86" s="31" t="str">
        <f>IF(OR(J86="",C86&lt;&gt;"League",L86&lt;&gt;"VALID"),"",COUNTIFS($J$6:J86,J86,$G$6:G86,G86,$C$6:C86,"League"))</f>
        <v/>
      </c>
      <c r="N86" s="31" t="str">
        <f t="shared" si="4"/>
        <v/>
      </c>
      <c r="O86" s="37" t="str">
        <f t="shared" si="5"/>
        <v/>
      </c>
    </row>
    <row r="87" spans="1:15" ht="15">
      <c r="A87" s="30">
        <v>18</v>
      </c>
      <c r="B87" s="31" t="s">
        <v>493</v>
      </c>
      <c r="C87" s="31" t="s">
        <v>473</v>
      </c>
      <c r="D87" s="31" t="s">
        <v>479</v>
      </c>
      <c r="E87" s="31" t="s">
        <v>475</v>
      </c>
      <c r="F87" s="31" t="str">
        <f>IF(H87=1,INDEX('Match Results'!$G$6:$G$185,MATCH(A87,'Match Results'!$A$6:$A$185,0)),INDEX('Match Results'!$H$6:$H$185,MATCH(A87,'Match Results'!$A$6:$A$185,0)))</f>
        <v>B3</v>
      </c>
      <c r="G87" s="31" t="str">
        <f>IF(H87=1,INDEX('Match Results'!$H$6:$H$185,MATCH(A87,'Match Results'!$A$6:$A$185,0)),INDEX('Match Results'!$G$6:$G$185,MATCH(A87,'Match Results'!$A$6:$A$185,0)))</f>
        <v>B2</v>
      </c>
      <c r="H87" s="31">
        <v>2</v>
      </c>
      <c r="I87" s="31">
        <v>4</v>
      </c>
      <c r="J87" s="32"/>
      <c r="K87" s="31" t="str">
        <f>IF(J87="","",IFERROR(INDEX('Team Rosters'!$C$6:$C$205,MATCH(J87,'Team Rosters'!$B$6:$B$205,0)),"CODE NOT FOUND"))</f>
        <v/>
      </c>
      <c r="L87" s="31" t="str">
        <f t="shared" si="3"/>
        <v/>
      </c>
      <c r="M87" s="31" t="str">
        <f>IF(OR(J87="",C87&lt;&gt;"League",L87&lt;&gt;"VALID"),"",COUNTIFS($J$6:J87,J87,$G$6:G87,G87,$C$6:C87,"League"))</f>
        <v/>
      </c>
      <c r="N87" s="31" t="str">
        <f t="shared" si="4"/>
        <v/>
      </c>
      <c r="O87" s="37" t="str">
        <f t="shared" si="5"/>
        <v/>
      </c>
    </row>
    <row r="88" spans="1:15" ht="15">
      <c r="A88" s="30">
        <v>19</v>
      </c>
      <c r="B88" s="31" t="s">
        <v>493</v>
      </c>
      <c r="C88" s="31" t="s">
        <v>473</v>
      </c>
      <c r="D88" s="31" t="s">
        <v>483</v>
      </c>
      <c r="E88" s="31" t="s">
        <v>472</v>
      </c>
      <c r="F88" s="31" t="str">
        <f>IF(H88=1,INDEX('Match Results'!$G$6:$G$185,MATCH(A88,'Match Results'!$A$6:$A$185,0)),INDEX('Match Results'!$H$6:$H$185,MATCH(A88,'Match Results'!$A$6:$A$185,0)))</f>
        <v>A2</v>
      </c>
      <c r="G88" s="31" t="str">
        <f>IF(H88=1,INDEX('Match Results'!$H$6:$H$185,MATCH(A88,'Match Results'!$A$6:$A$185,0)),INDEX('Match Results'!$G$6:$G$185,MATCH(A88,'Match Results'!$A$6:$A$185,0)))</f>
        <v>A3</v>
      </c>
      <c r="H88" s="31">
        <v>1</v>
      </c>
      <c r="I88" s="31">
        <v>1</v>
      </c>
      <c r="J88" s="32"/>
      <c r="K88" s="31" t="str">
        <f>IF(J88="","",IFERROR(INDEX('Team Rosters'!$C$6:$C$205,MATCH(J88,'Team Rosters'!$B$6:$B$205,0)),"CODE NOT FOUND"))</f>
        <v/>
      </c>
      <c r="L88" s="31" t="str">
        <f t="shared" si="3"/>
        <v/>
      </c>
      <c r="M88" s="31" t="str">
        <f>IF(OR(J88="",C88&lt;&gt;"League",L88&lt;&gt;"VALID"),"",COUNTIFS($J$6:J88,J88,$G$6:G88,G88,$C$6:C88,"League"))</f>
        <v/>
      </c>
      <c r="N88" s="31" t="str">
        <f t="shared" si="4"/>
        <v/>
      </c>
      <c r="O88" s="37" t="str">
        <f t="shared" si="5"/>
        <v/>
      </c>
    </row>
    <row r="89" spans="1:15" ht="15">
      <c r="A89" s="30">
        <v>19</v>
      </c>
      <c r="B89" s="31" t="s">
        <v>493</v>
      </c>
      <c r="C89" s="31" t="s">
        <v>473</v>
      </c>
      <c r="D89" s="31" t="s">
        <v>483</v>
      </c>
      <c r="E89" s="31" t="s">
        <v>472</v>
      </c>
      <c r="F89" s="31" t="str">
        <f>IF(H89=1,INDEX('Match Results'!$G$6:$G$185,MATCH(A89,'Match Results'!$A$6:$A$185,0)),INDEX('Match Results'!$H$6:$H$185,MATCH(A89,'Match Results'!$A$6:$A$185,0)))</f>
        <v>A2</v>
      </c>
      <c r="G89" s="31" t="str">
        <f>IF(H89=1,INDEX('Match Results'!$H$6:$H$185,MATCH(A89,'Match Results'!$A$6:$A$185,0)),INDEX('Match Results'!$G$6:$G$185,MATCH(A89,'Match Results'!$A$6:$A$185,0)))</f>
        <v>A3</v>
      </c>
      <c r="H89" s="31">
        <v>1</v>
      </c>
      <c r="I89" s="31">
        <v>2</v>
      </c>
      <c r="J89" s="32"/>
      <c r="K89" s="31" t="str">
        <f>IF(J89="","",IFERROR(INDEX('Team Rosters'!$C$6:$C$205,MATCH(J89,'Team Rosters'!$B$6:$B$205,0)),"CODE NOT FOUND"))</f>
        <v/>
      </c>
      <c r="L89" s="31" t="str">
        <f t="shared" si="3"/>
        <v/>
      </c>
      <c r="M89" s="31" t="str">
        <f>IF(OR(J89="",C89&lt;&gt;"League",L89&lt;&gt;"VALID"),"",COUNTIFS($J$6:J89,J89,$G$6:G89,G89,$C$6:C89,"League"))</f>
        <v/>
      </c>
      <c r="N89" s="31" t="str">
        <f t="shared" si="4"/>
        <v/>
      </c>
      <c r="O89" s="37" t="str">
        <f t="shared" si="5"/>
        <v/>
      </c>
    </row>
    <row r="90" spans="1:15" ht="15">
      <c r="A90" s="30">
        <v>19</v>
      </c>
      <c r="B90" s="31" t="s">
        <v>493</v>
      </c>
      <c r="C90" s="31" t="s">
        <v>473</v>
      </c>
      <c r="D90" s="31" t="s">
        <v>483</v>
      </c>
      <c r="E90" s="31" t="s">
        <v>472</v>
      </c>
      <c r="F90" s="31" t="str">
        <f>IF(H90=1,INDEX('Match Results'!$G$6:$G$185,MATCH(A90,'Match Results'!$A$6:$A$185,0)),INDEX('Match Results'!$H$6:$H$185,MATCH(A90,'Match Results'!$A$6:$A$185,0)))</f>
        <v>A3</v>
      </c>
      <c r="G90" s="31" t="str">
        <f>IF(H90=1,INDEX('Match Results'!$H$6:$H$185,MATCH(A90,'Match Results'!$A$6:$A$185,0)),INDEX('Match Results'!$G$6:$G$185,MATCH(A90,'Match Results'!$A$6:$A$185,0)))</f>
        <v>A2</v>
      </c>
      <c r="H90" s="31">
        <v>2</v>
      </c>
      <c r="I90" s="31">
        <v>3</v>
      </c>
      <c r="J90" s="32"/>
      <c r="K90" s="31" t="str">
        <f>IF(J90="","",IFERROR(INDEX('Team Rosters'!$C$6:$C$205,MATCH(J90,'Team Rosters'!$B$6:$B$205,0)),"CODE NOT FOUND"))</f>
        <v/>
      </c>
      <c r="L90" s="31" t="str">
        <f t="shared" si="3"/>
        <v/>
      </c>
      <c r="M90" s="31" t="str">
        <f>IF(OR(J90="",C90&lt;&gt;"League",L90&lt;&gt;"VALID"),"",COUNTIFS($J$6:J90,J90,$G$6:G90,G90,$C$6:C90,"League"))</f>
        <v/>
      </c>
      <c r="N90" s="31" t="str">
        <f t="shared" si="4"/>
        <v/>
      </c>
      <c r="O90" s="37" t="str">
        <f t="shared" si="5"/>
        <v/>
      </c>
    </row>
    <row r="91" spans="1:15" ht="15">
      <c r="A91" s="30">
        <v>19</v>
      </c>
      <c r="B91" s="31" t="s">
        <v>493</v>
      </c>
      <c r="C91" s="31" t="s">
        <v>473</v>
      </c>
      <c r="D91" s="31" t="s">
        <v>483</v>
      </c>
      <c r="E91" s="31" t="s">
        <v>472</v>
      </c>
      <c r="F91" s="31" t="str">
        <f>IF(H91=1,INDEX('Match Results'!$G$6:$G$185,MATCH(A91,'Match Results'!$A$6:$A$185,0)),INDEX('Match Results'!$H$6:$H$185,MATCH(A91,'Match Results'!$A$6:$A$185,0)))</f>
        <v>A3</v>
      </c>
      <c r="G91" s="31" t="str">
        <f>IF(H91=1,INDEX('Match Results'!$H$6:$H$185,MATCH(A91,'Match Results'!$A$6:$A$185,0)),INDEX('Match Results'!$G$6:$G$185,MATCH(A91,'Match Results'!$A$6:$A$185,0)))</f>
        <v>A2</v>
      </c>
      <c r="H91" s="31">
        <v>2</v>
      </c>
      <c r="I91" s="31">
        <v>4</v>
      </c>
      <c r="J91" s="32"/>
      <c r="K91" s="31" t="str">
        <f>IF(J91="","",IFERROR(INDEX('Team Rosters'!$C$6:$C$205,MATCH(J91,'Team Rosters'!$B$6:$B$205,0)),"CODE NOT FOUND"))</f>
        <v/>
      </c>
      <c r="L91" s="31" t="str">
        <f t="shared" si="3"/>
        <v/>
      </c>
      <c r="M91" s="31" t="str">
        <f>IF(OR(J91="",C91&lt;&gt;"League",L91&lt;&gt;"VALID"),"",COUNTIFS($J$6:J91,J91,$G$6:G91,G91,$C$6:C91,"League"))</f>
        <v/>
      </c>
      <c r="N91" s="31" t="str">
        <f t="shared" si="4"/>
        <v/>
      </c>
      <c r="O91" s="37" t="str">
        <f t="shared" si="5"/>
        <v/>
      </c>
    </row>
    <row r="92" spans="1:15" ht="15">
      <c r="A92" s="30">
        <v>20</v>
      </c>
      <c r="B92" s="31" t="s">
        <v>493</v>
      </c>
      <c r="C92" s="31" t="s">
        <v>473</v>
      </c>
      <c r="D92" s="31" t="s">
        <v>483</v>
      </c>
      <c r="E92" s="31" t="s">
        <v>477</v>
      </c>
      <c r="F92" s="31" t="str">
        <f>IF(H92=1,INDEX('Match Results'!$G$6:$G$185,MATCH(A92,'Match Results'!$A$6:$A$185,0)),INDEX('Match Results'!$H$6:$H$185,MATCH(A92,'Match Results'!$A$6:$A$185,0)))</f>
        <v>B1</v>
      </c>
      <c r="G92" s="31" t="str">
        <f>IF(H92=1,INDEX('Match Results'!$H$6:$H$185,MATCH(A92,'Match Results'!$A$6:$A$185,0)),INDEX('Match Results'!$G$6:$G$185,MATCH(A92,'Match Results'!$A$6:$A$185,0)))</f>
        <v>B2</v>
      </c>
      <c r="H92" s="31">
        <v>1</v>
      </c>
      <c r="I92" s="31">
        <v>1</v>
      </c>
      <c r="J92" s="32"/>
      <c r="K92" s="31" t="str">
        <f>IF(J92="","",IFERROR(INDEX('Team Rosters'!$C$6:$C$205,MATCH(J92,'Team Rosters'!$B$6:$B$205,0)),"CODE NOT FOUND"))</f>
        <v/>
      </c>
      <c r="L92" s="31" t="str">
        <f t="shared" si="3"/>
        <v/>
      </c>
      <c r="M92" s="31" t="str">
        <f>IF(OR(J92="",C92&lt;&gt;"League",L92&lt;&gt;"VALID"),"",COUNTIFS($J$6:J92,J92,$G$6:G92,G92,$C$6:C92,"League"))</f>
        <v/>
      </c>
      <c r="N92" s="31" t="str">
        <f t="shared" si="4"/>
        <v/>
      </c>
      <c r="O92" s="37" t="str">
        <f t="shared" si="5"/>
        <v/>
      </c>
    </row>
    <row r="93" spans="1:15" ht="15">
      <c r="A93" s="30">
        <v>20</v>
      </c>
      <c r="B93" s="31" t="s">
        <v>493</v>
      </c>
      <c r="C93" s="31" t="s">
        <v>473</v>
      </c>
      <c r="D93" s="31" t="s">
        <v>483</v>
      </c>
      <c r="E93" s="31" t="s">
        <v>477</v>
      </c>
      <c r="F93" s="31" t="str">
        <f>IF(H93=1,INDEX('Match Results'!$G$6:$G$185,MATCH(A93,'Match Results'!$A$6:$A$185,0)),INDEX('Match Results'!$H$6:$H$185,MATCH(A93,'Match Results'!$A$6:$A$185,0)))</f>
        <v>B1</v>
      </c>
      <c r="G93" s="31" t="str">
        <f>IF(H93=1,INDEX('Match Results'!$H$6:$H$185,MATCH(A93,'Match Results'!$A$6:$A$185,0)),INDEX('Match Results'!$G$6:$G$185,MATCH(A93,'Match Results'!$A$6:$A$185,0)))</f>
        <v>B2</v>
      </c>
      <c r="H93" s="31">
        <v>1</v>
      </c>
      <c r="I93" s="31">
        <v>2</v>
      </c>
      <c r="J93" s="32"/>
      <c r="K93" s="31" t="str">
        <f>IF(J93="","",IFERROR(INDEX('Team Rosters'!$C$6:$C$205,MATCH(J93,'Team Rosters'!$B$6:$B$205,0)),"CODE NOT FOUND"))</f>
        <v/>
      </c>
      <c r="L93" s="31" t="str">
        <f t="shared" si="3"/>
        <v/>
      </c>
      <c r="M93" s="31" t="str">
        <f>IF(OR(J93="",C93&lt;&gt;"League",L93&lt;&gt;"VALID"),"",COUNTIFS($J$6:J93,J93,$G$6:G93,G93,$C$6:C93,"League"))</f>
        <v/>
      </c>
      <c r="N93" s="31" t="str">
        <f t="shared" si="4"/>
        <v/>
      </c>
      <c r="O93" s="37" t="str">
        <f t="shared" si="5"/>
        <v/>
      </c>
    </row>
    <row r="94" spans="1:15" ht="15">
      <c r="A94" s="30">
        <v>20</v>
      </c>
      <c r="B94" s="31" t="s">
        <v>493</v>
      </c>
      <c r="C94" s="31" t="s">
        <v>473</v>
      </c>
      <c r="D94" s="31" t="s">
        <v>483</v>
      </c>
      <c r="E94" s="31" t="s">
        <v>477</v>
      </c>
      <c r="F94" s="31" t="str">
        <f>IF(H94=1,INDEX('Match Results'!$G$6:$G$185,MATCH(A94,'Match Results'!$A$6:$A$185,0)),INDEX('Match Results'!$H$6:$H$185,MATCH(A94,'Match Results'!$A$6:$A$185,0)))</f>
        <v>B2</v>
      </c>
      <c r="G94" s="31" t="str">
        <f>IF(H94=1,INDEX('Match Results'!$H$6:$H$185,MATCH(A94,'Match Results'!$A$6:$A$185,0)),INDEX('Match Results'!$G$6:$G$185,MATCH(A94,'Match Results'!$A$6:$A$185,0)))</f>
        <v>B1</v>
      </c>
      <c r="H94" s="31">
        <v>2</v>
      </c>
      <c r="I94" s="31">
        <v>3</v>
      </c>
      <c r="J94" s="32"/>
      <c r="K94" s="31" t="str">
        <f>IF(J94="","",IFERROR(INDEX('Team Rosters'!$C$6:$C$205,MATCH(J94,'Team Rosters'!$B$6:$B$205,0)),"CODE NOT FOUND"))</f>
        <v/>
      </c>
      <c r="L94" s="31" t="str">
        <f t="shared" si="3"/>
        <v/>
      </c>
      <c r="M94" s="31" t="str">
        <f>IF(OR(J94="",C94&lt;&gt;"League",L94&lt;&gt;"VALID"),"",COUNTIFS($J$6:J94,J94,$G$6:G94,G94,$C$6:C94,"League"))</f>
        <v/>
      </c>
      <c r="N94" s="31" t="str">
        <f t="shared" si="4"/>
        <v/>
      </c>
      <c r="O94" s="37" t="str">
        <f t="shared" si="5"/>
        <v/>
      </c>
    </row>
    <row r="95" spans="1:15" ht="15">
      <c r="A95" s="30">
        <v>20</v>
      </c>
      <c r="B95" s="31" t="s">
        <v>493</v>
      </c>
      <c r="C95" s="31" t="s">
        <v>473</v>
      </c>
      <c r="D95" s="31" t="s">
        <v>483</v>
      </c>
      <c r="E95" s="31" t="s">
        <v>477</v>
      </c>
      <c r="F95" s="31" t="str">
        <f>IF(H95=1,INDEX('Match Results'!$G$6:$G$185,MATCH(A95,'Match Results'!$A$6:$A$185,0)),INDEX('Match Results'!$H$6:$H$185,MATCH(A95,'Match Results'!$A$6:$A$185,0)))</f>
        <v>B2</v>
      </c>
      <c r="G95" s="31" t="str">
        <f>IF(H95=1,INDEX('Match Results'!$H$6:$H$185,MATCH(A95,'Match Results'!$A$6:$A$185,0)),INDEX('Match Results'!$G$6:$G$185,MATCH(A95,'Match Results'!$A$6:$A$185,0)))</f>
        <v>B1</v>
      </c>
      <c r="H95" s="31">
        <v>2</v>
      </c>
      <c r="I95" s="31">
        <v>4</v>
      </c>
      <c r="J95" s="32"/>
      <c r="K95" s="31" t="str">
        <f>IF(J95="","",IFERROR(INDEX('Team Rosters'!$C$6:$C$205,MATCH(J95,'Team Rosters'!$B$6:$B$205,0)),"CODE NOT FOUND"))</f>
        <v/>
      </c>
      <c r="L95" s="31" t="str">
        <f t="shared" si="3"/>
        <v/>
      </c>
      <c r="M95" s="31" t="str">
        <f>IF(OR(J95="",C95&lt;&gt;"League",L95&lt;&gt;"VALID"),"",COUNTIFS($J$6:J95,J95,$G$6:G95,G95,$C$6:C95,"League"))</f>
        <v/>
      </c>
      <c r="N95" s="31" t="str">
        <f t="shared" si="4"/>
        <v/>
      </c>
      <c r="O95" s="37" t="str">
        <f t="shared" si="5"/>
        <v/>
      </c>
    </row>
    <row r="96" spans="1:15" ht="15">
      <c r="A96" s="30">
        <v>21</v>
      </c>
      <c r="B96" s="31" t="s">
        <v>493</v>
      </c>
      <c r="C96" s="31" t="s">
        <v>473</v>
      </c>
      <c r="D96" s="31" t="s">
        <v>486</v>
      </c>
      <c r="E96" s="31" t="s">
        <v>477</v>
      </c>
      <c r="F96" s="31" t="str">
        <f>IF(H96=1,INDEX('Match Results'!$G$6:$G$185,MATCH(A96,'Match Results'!$A$6:$A$185,0)),INDEX('Match Results'!$H$6:$H$185,MATCH(A96,'Match Results'!$A$6:$A$185,0)))</f>
        <v>A1</v>
      </c>
      <c r="G96" s="31" t="str">
        <f>IF(H96=1,INDEX('Match Results'!$H$6:$H$185,MATCH(A96,'Match Results'!$A$6:$A$185,0)),INDEX('Match Results'!$G$6:$G$185,MATCH(A96,'Match Results'!$A$6:$A$185,0)))</f>
        <v>A3</v>
      </c>
      <c r="H96" s="31">
        <v>1</v>
      </c>
      <c r="I96" s="31">
        <v>1</v>
      </c>
      <c r="J96" s="32"/>
      <c r="K96" s="31" t="str">
        <f>IF(J96="","",IFERROR(INDEX('Team Rosters'!$C$6:$C$205,MATCH(J96,'Team Rosters'!$B$6:$B$205,0)),"CODE NOT FOUND"))</f>
        <v/>
      </c>
      <c r="L96" s="31" t="str">
        <f t="shared" si="3"/>
        <v/>
      </c>
      <c r="M96" s="31" t="str">
        <f>IF(OR(J96="",C96&lt;&gt;"League",L96&lt;&gt;"VALID"),"",COUNTIFS($J$6:J96,J96,$G$6:G96,G96,$C$6:C96,"League"))</f>
        <v/>
      </c>
      <c r="N96" s="31" t="str">
        <f t="shared" si="4"/>
        <v/>
      </c>
      <c r="O96" s="37" t="str">
        <f t="shared" si="5"/>
        <v/>
      </c>
    </row>
    <row r="97" spans="1:15" ht="15">
      <c r="A97" s="30">
        <v>21</v>
      </c>
      <c r="B97" s="31" t="s">
        <v>493</v>
      </c>
      <c r="C97" s="31" t="s">
        <v>473</v>
      </c>
      <c r="D97" s="31" t="s">
        <v>486</v>
      </c>
      <c r="E97" s="31" t="s">
        <v>477</v>
      </c>
      <c r="F97" s="31" t="str">
        <f>IF(H97=1,INDEX('Match Results'!$G$6:$G$185,MATCH(A97,'Match Results'!$A$6:$A$185,0)),INDEX('Match Results'!$H$6:$H$185,MATCH(A97,'Match Results'!$A$6:$A$185,0)))</f>
        <v>A1</v>
      </c>
      <c r="G97" s="31" t="str">
        <f>IF(H97=1,INDEX('Match Results'!$H$6:$H$185,MATCH(A97,'Match Results'!$A$6:$A$185,0)),INDEX('Match Results'!$G$6:$G$185,MATCH(A97,'Match Results'!$A$6:$A$185,0)))</f>
        <v>A3</v>
      </c>
      <c r="H97" s="31">
        <v>1</v>
      </c>
      <c r="I97" s="31">
        <v>2</v>
      </c>
      <c r="J97" s="32"/>
      <c r="K97" s="31" t="str">
        <f>IF(J97="","",IFERROR(INDEX('Team Rosters'!$C$6:$C$205,MATCH(J97,'Team Rosters'!$B$6:$B$205,0)),"CODE NOT FOUND"))</f>
        <v/>
      </c>
      <c r="L97" s="31" t="str">
        <f t="shared" si="3"/>
        <v/>
      </c>
      <c r="M97" s="31" t="str">
        <f>IF(OR(J97="",C97&lt;&gt;"League",L97&lt;&gt;"VALID"),"",COUNTIFS($J$6:J97,J97,$G$6:G97,G97,$C$6:C97,"League"))</f>
        <v/>
      </c>
      <c r="N97" s="31" t="str">
        <f t="shared" si="4"/>
        <v/>
      </c>
      <c r="O97" s="37" t="str">
        <f t="shared" si="5"/>
        <v/>
      </c>
    </row>
    <row r="98" spans="1:15" ht="15">
      <c r="A98" s="30">
        <v>21</v>
      </c>
      <c r="B98" s="31" t="s">
        <v>493</v>
      </c>
      <c r="C98" s="31" t="s">
        <v>473</v>
      </c>
      <c r="D98" s="31" t="s">
        <v>486</v>
      </c>
      <c r="E98" s="31" t="s">
        <v>477</v>
      </c>
      <c r="F98" s="31" t="str">
        <f>IF(H98=1,INDEX('Match Results'!$G$6:$G$185,MATCH(A98,'Match Results'!$A$6:$A$185,0)),INDEX('Match Results'!$H$6:$H$185,MATCH(A98,'Match Results'!$A$6:$A$185,0)))</f>
        <v>A3</v>
      </c>
      <c r="G98" s="31" t="str">
        <f>IF(H98=1,INDEX('Match Results'!$H$6:$H$185,MATCH(A98,'Match Results'!$A$6:$A$185,0)),INDEX('Match Results'!$G$6:$G$185,MATCH(A98,'Match Results'!$A$6:$A$185,0)))</f>
        <v>A1</v>
      </c>
      <c r="H98" s="31">
        <v>2</v>
      </c>
      <c r="I98" s="31">
        <v>3</v>
      </c>
      <c r="J98" s="32"/>
      <c r="K98" s="31" t="str">
        <f>IF(J98="","",IFERROR(INDEX('Team Rosters'!$C$6:$C$205,MATCH(J98,'Team Rosters'!$B$6:$B$205,0)),"CODE NOT FOUND"))</f>
        <v/>
      </c>
      <c r="L98" s="31" t="str">
        <f t="shared" si="3"/>
        <v/>
      </c>
      <c r="M98" s="31" t="str">
        <f>IF(OR(J98="",C98&lt;&gt;"League",L98&lt;&gt;"VALID"),"",COUNTIFS($J$6:J98,J98,$G$6:G98,G98,$C$6:C98,"League"))</f>
        <v/>
      </c>
      <c r="N98" s="31" t="str">
        <f t="shared" si="4"/>
        <v/>
      </c>
      <c r="O98" s="37" t="str">
        <f t="shared" si="5"/>
        <v/>
      </c>
    </row>
    <row r="99" spans="1:15" ht="15">
      <c r="A99" s="30">
        <v>21</v>
      </c>
      <c r="B99" s="31" t="s">
        <v>493</v>
      </c>
      <c r="C99" s="31" t="s">
        <v>473</v>
      </c>
      <c r="D99" s="31" t="s">
        <v>486</v>
      </c>
      <c r="E99" s="31" t="s">
        <v>477</v>
      </c>
      <c r="F99" s="31" t="str">
        <f>IF(H99=1,INDEX('Match Results'!$G$6:$G$185,MATCH(A99,'Match Results'!$A$6:$A$185,0)),INDEX('Match Results'!$H$6:$H$185,MATCH(A99,'Match Results'!$A$6:$A$185,0)))</f>
        <v>A3</v>
      </c>
      <c r="G99" s="31" t="str">
        <f>IF(H99=1,INDEX('Match Results'!$H$6:$H$185,MATCH(A99,'Match Results'!$A$6:$A$185,0)),INDEX('Match Results'!$G$6:$G$185,MATCH(A99,'Match Results'!$A$6:$A$185,0)))</f>
        <v>A1</v>
      </c>
      <c r="H99" s="31">
        <v>2</v>
      </c>
      <c r="I99" s="31">
        <v>4</v>
      </c>
      <c r="J99" s="32"/>
      <c r="K99" s="31" t="str">
        <f>IF(J99="","",IFERROR(INDEX('Team Rosters'!$C$6:$C$205,MATCH(J99,'Team Rosters'!$B$6:$B$205,0)),"CODE NOT FOUND"))</f>
        <v/>
      </c>
      <c r="L99" s="31" t="str">
        <f t="shared" si="3"/>
        <v/>
      </c>
      <c r="M99" s="31" t="str">
        <f>IF(OR(J99="",C99&lt;&gt;"League",L99&lt;&gt;"VALID"),"",COUNTIFS($J$6:J99,J99,$G$6:G99,G99,$C$6:C99,"League"))</f>
        <v/>
      </c>
      <c r="N99" s="31" t="str">
        <f t="shared" si="4"/>
        <v/>
      </c>
      <c r="O99" s="37" t="str">
        <f t="shared" si="5"/>
        <v/>
      </c>
    </row>
    <row r="100" spans="1:15" ht="15">
      <c r="A100" s="30">
        <v>22</v>
      </c>
      <c r="B100" s="31" t="s">
        <v>493</v>
      </c>
      <c r="C100" s="31" t="s">
        <v>473</v>
      </c>
      <c r="D100" s="31" t="s">
        <v>486</v>
      </c>
      <c r="E100" s="31" t="s">
        <v>475</v>
      </c>
      <c r="F100" s="31" t="str">
        <f>IF(H100=1,INDEX('Match Results'!$G$6:$G$185,MATCH(A100,'Match Results'!$A$6:$A$185,0)),INDEX('Match Results'!$H$6:$H$185,MATCH(A100,'Match Results'!$A$6:$A$185,0)))</f>
        <v>A2</v>
      </c>
      <c r="G100" s="31" t="str">
        <f>IF(H100=1,INDEX('Match Results'!$H$6:$H$185,MATCH(A100,'Match Results'!$A$6:$A$185,0)),INDEX('Match Results'!$G$6:$G$185,MATCH(A100,'Match Results'!$A$6:$A$185,0)))</f>
        <v>A4</v>
      </c>
      <c r="H100" s="31">
        <v>1</v>
      </c>
      <c r="I100" s="31">
        <v>1</v>
      </c>
      <c r="J100" s="32"/>
      <c r="K100" s="31" t="str">
        <f>IF(J100="","",IFERROR(INDEX('Team Rosters'!$C$6:$C$205,MATCH(J100,'Team Rosters'!$B$6:$B$205,0)),"CODE NOT FOUND"))</f>
        <v/>
      </c>
      <c r="L100" s="31" t="str">
        <f t="shared" si="3"/>
        <v/>
      </c>
      <c r="M100" s="31" t="str">
        <f>IF(OR(J100="",C100&lt;&gt;"League",L100&lt;&gt;"VALID"),"",COUNTIFS($J$6:J100,J100,$G$6:G100,G100,$C$6:C100,"League"))</f>
        <v/>
      </c>
      <c r="N100" s="31" t="str">
        <f t="shared" si="4"/>
        <v/>
      </c>
      <c r="O100" s="37" t="str">
        <f t="shared" si="5"/>
        <v/>
      </c>
    </row>
    <row r="101" spans="1:15" ht="15">
      <c r="A101" s="30">
        <v>22</v>
      </c>
      <c r="B101" s="31" t="s">
        <v>493</v>
      </c>
      <c r="C101" s="31" t="s">
        <v>473</v>
      </c>
      <c r="D101" s="31" t="s">
        <v>486</v>
      </c>
      <c r="E101" s="31" t="s">
        <v>475</v>
      </c>
      <c r="F101" s="31" t="str">
        <f>IF(H101=1,INDEX('Match Results'!$G$6:$G$185,MATCH(A101,'Match Results'!$A$6:$A$185,0)),INDEX('Match Results'!$H$6:$H$185,MATCH(A101,'Match Results'!$A$6:$A$185,0)))</f>
        <v>A2</v>
      </c>
      <c r="G101" s="31" t="str">
        <f>IF(H101=1,INDEX('Match Results'!$H$6:$H$185,MATCH(A101,'Match Results'!$A$6:$A$185,0)),INDEX('Match Results'!$G$6:$G$185,MATCH(A101,'Match Results'!$A$6:$A$185,0)))</f>
        <v>A4</v>
      </c>
      <c r="H101" s="31">
        <v>1</v>
      </c>
      <c r="I101" s="31">
        <v>2</v>
      </c>
      <c r="J101" s="32"/>
      <c r="K101" s="31" t="str">
        <f>IF(J101="","",IFERROR(INDEX('Team Rosters'!$C$6:$C$205,MATCH(J101,'Team Rosters'!$B$6:$B$205,0)),"CODE NOT FOUND"))</f>
        <v/>
      </c>
      <c r="L101" s="31" t="str">
        <f t="shared" si="3"/>
        <v/>
      </c>
      <c r="M101" s="31" t="str">
        <f>IF(OR(J101="",C101&lt;&gt;"League",L101&lt;&gt;"VALID"),"",COUNTIFS($J$6:J101,J101,$G$6:G101,G101,$C$6:C101,"League"))</f>
        <v/>
      </c>
      <c r="N101" s="31" t="str">
        <f t="shared" si="4"/>
        <v/>
      </c>
      <c r="O101" s="37" t="str">
        <f t="shared" si="5"/>
        <v/>
      </c>
    </row>
    <row r="102" spans="1:15" ht="15">
      <c r="A102" s="30">
        <v>22</v>
      </c>
      <c r="B102" s="31" t="s">
        <v>493</v>
      </c>
      <c r="C102" s="31" t="s">
        <v>473</v>
      </c>
      <c r="D102" s="31" t="s">
        <v>486</v>
      </c>
      <c r="E102" s="31" t="s">
        <v>475</v>
      </c>
      <c r="F102" s="31" t="str">
        <f>IF(H102=1,INDEX('Match Results'!$G$6:$G$185,MATCH(A102,'Match Results'!$A$6:$A$185,0)),INDEX('Match Results'!$H$6:$H$185,MATCH(A102,'Match Results'!$A$6:$A$185,0)))</f>
        <v>A4</v>
      </c>
      <c r="G102" s="31" t="str">
        <f>IF(H102=1,INDEX('Match Results'!$H$6:$H$185,MATCH(A102,'Match Results'!$A$6:$A$185,0)),INDEX('Match Results'!$G$6:$G$185,MATCH(A102,'Match Results'!$A$6:$A$185,0)))</f>
        <v>A2</v>
      </c>
      <c r="H102" s="31">
        <v>2</v>
      </c>
      <c r="I102" s="31">
        <v>3</v>
      </c>
      <c r="J102" s="49"/>
      <c r="K102" s="31" t="str">
        <f>IF(J102="","",IFERROR(INDEX('Team Rosters'!$C$6:$C$205,MATCH(J102,'Team Rosters'!$B$6:$B$205,0)),"CODE NOT FOUND"))</f>
        <v/>
      </c>
      <c r="L102" s="31" t="str">
        <f t="shared" si="3"/>
        <v/>
      </c>
      <c r="M102" s="31" t="str">
        <f>IF(OR(J102="",C102&lt;&gt;"League",L102&lt;&gt;"VALID"),"",COUNTIFS($J$6:J102,J102,$G$6:G102,G102,$C$6:C102,"League"))</f>
        <v/>
      </c>
      <c r="N102" s="31" t="str">
        <f t="shared" si="4"/>
        <v/>
      </c>
      <c r="O102" s="37" t="str">
        <f t="shared" si="5"/>
        <v/>
      </c>
    </row>
    <row r="103" spans="1:15" ht="15">
      <c r="A103" s="30">
        <v>22</v>
      </c>
      <c r="B103" s="31" t="s">
        <v>493</v>
      </c>
      <c r="C103" s="31" t="s">
        <v>473</v>
      </c>
      <c r="D103" s="31" t="s">
        <v>486</v>
      </c>
      <c r="E103" s="31" t="s">
        <v>475</v>
      </c>
      <c r="F103" s="31" t="str">
        <f>IF(H103=1,INDEX('Match Results'!$G$6:$G$185,MATCH(A103,'Match Results'!$A$6:$A$185,0)),INDEX('Match Results'!$H$6:$H$185,MATCH(A103,'Match Results'!$A$6:$A$185,0)))</f>
        <v>A4</v>
      </c>
      <c r="G103" s="31" t="str">
        <f>IF(H103=1,INDEX('Match Results'!$H$6:$H$185,MATCH(A103,'Match Results'!$A$6:$A$185,0)),INDEX('Match Results'!$G$6:$G$185,MATCH(A103,'Match Results'!$A$6:$A$185,0)))</f>
        <v>A2</v>
      </c>
      <c r="H103" s="31">
        <v>2</v>
      </c>
      <c r="I103" s="31">
        <v>4</v>
      </c>
      <c r="J103" s="50"/>
      <c r="K103" s="31" t="str">
        <f>IF(J103="","",IFERROR(INDEX('Team Rosters'!$C$6:$C$205,MATCH(J103,'Team Rosters'!$B$6:$B$205,0)),"CODE NOT FOUND"))</f>
        <v/>
      </c>
      <c r="L103" s="31" t="str">
        <f t="shared" si="3"/>
        <v/>
      </c>
      <c r="M103" s="31" t="str">
        <f>IF(OR(J103="",C103&lt;&gt;"League",L103&lt;&gt;"VALID"),"",COUNTIFS($J$6:J103,J103,$G$6:G103,G103,$C$6:C103,"League"))</f>
        <v/>
      </c>
      <c r="N103" s="31" t="str">
        <f t="shared" si="4"/>
        <v/>
      </c>
      <c r="O103" s="37" t="str">
        <f t="shared" si="5"/>
        <v/>
      </c>
    </row>
    <row r="104" spans="1:15" ht="15">
      <c r="A104" s="30">
        <v>23</v>
      </c>
      <c r="B104" s="31" t="s">
        <v>493</v>
      </c>
      <c r="C104" s="31" t="s">
        <v>473</v>
      </c>
      <c r="D104" s="31" t="s">
        <v>486</v>
      </c>
      <c r="E104" s="31" t="s">
        <v>472</v>
      </c>
      <c r="F104" s="31" t="str">
        <f>IF(H104=1,INDEX('Match Results'!$G$6:$G$185,MATCH(A104,'Match Results'!$A$6:$A$185,0)),INDEX('Match Results'!$H$6:$H$185,MATCH(A104,'Match Results'!$A$6:$A$185,0)))</f>
        <v>B3</v>
      </c>
      <c r="G104" s="31" t="str">
        <f>IF(H104=1,INDEX('Match Results'!$H$6:$H$185,MATCH(A104,'Match Results'!$A$6:$A$185,0)),INDEX('Match Results'!$G$6:$G$185,MATCH(A104,'Match Results'!$A$6:$A$185,0)))</f>
        <v>B4</v>
      </c>
      <c r="H104" s="31">
        <v>1</v>
      </c>
      <c r="I104" s="31">
        <v>1</v>
      </c>
      <c r="J104" s="32"/>
      <c r="K104" s="31" t="str">
        <f>IF(J104="","",IFERROR(INDEX('Team Rosters'!$C$6:$C$205,MATCH(J104,'Team Rosters'!$B$6:$B$205,0)),"CODE NOT FOUND"))</f>
        <v/>
      </c>
      <c r="L104" s="31" t="str">
        <f t="shared" si="3"/>
        <v/>
      </c>
      <c r="M104" s="31" t="str">
        <f>IF(OR(J104="",C104&lt;&gt;"League",L104&lt;&gt;"VALID"),"",COUNTIFS($J$6:J104,J104,$G$6:G104,G104,$C$6:C104,"League"))</f>
        <v/>
      </c>
      <c r="N104" s="31" t="str">
        <f t="shared" si="4"/>
        <v/>
      </c>
      <c r="O104" s="37" t="str">
        <f t="shared" si="5"/>
        <v/>
      </c>
    </row>
    <row r="105" spans="1:15" ht="15">
      <c r="A105" s="30">
        <v>23</v>
      </c>
      <c r="B105" s="31" t="s">
        <v>493</v>
      </c>
      <c r="C105" s="31" t="s">
        <v>473</v>
      </c>
      <c r="D105" s="31" t="s">
        <v>486</v>
      </c>
      <c r="E105" s="31" t="s">
        <v>472</v>
      </c>
      <c r="F105" s="31" t="str">
        <f>IF(H105=1,INDEX('Match Results'!$G$6:$G$185,MATCH(A105,'Match Results'!$A$6:$A$185,0)),INDEX('Match Results'!$H$6:$H$185,MATCH(A105,'Match Results'!$A$6:$A$185,0)))</f>
        <v>B3</v>
      </c>
      <c r="G105" s="31" t="str">
        <f>IF(H105=1,INDEX('Match Results'!$H$6:$H$185,MATCH(A105,'Match Results'!$A$6:$A$185,0)),INDEX('Match Results'!$G$6:$G$185,MATCH(A105,'Match Results'!$A$6:$A$185,0)))</f>
        <v>B4</v>
      </c>
      <c r="H105" s="31">
        <v>1</v>
      </c>
      <c r="I105" s="31">
        <v>2</v>
      </c>
      <c r="J105" s="32"/>
      <c r="K105" s="31" t="str">
        <f>IF(J105="","",IFERROR(INDEX('Team Rosters'!$C$6:$C$205,MATCH(J105,'Team Rosters'!$B$6:$B$205,0)),"CODE NOT FOUND"))</f>
        <v/>
      </c>
      <c r="L105" s="31" t="str">
        <f t="shared" si="3"/>
        <v/>
      </c>
      <c r="M105" s="31" t="str">
        <f>IF(OR(J105="",C105&lt;&gt;"League",L105&lt;&gt;"VALID"),"",COUNTIFS($J$6:J105,J105,$G$6:G105,G105,$C$6:C105,"League"))</f>
        <v/>
      </c>
      <c r="N105" s="31" t="str">
        <f t="shared" si="4"/>
        <v/>
      </c>
      <c r="O105" s="37" t="str">
        <f t="shared" si="5"/>
        <v/>
      </c>
    </row>
    <row r="106" spans="1:15" ht="15">
      <c r="A106" s="30">
        <v>23</v>
      </c>
      <c r="B106" s="31" t="s">
        <v>493</v>
      </c>
      <c r="C106" s="31" t="s">
        <v>473</v>
      </c>
      <c r="D106" s="31" t="s">
        <v>486</v>
      </c>
      <c r="E106" s="31" t="s">
        <v>472</v>
      </c>
      <c r="F106" s="31" t="str">
        <f>IF(H106=1,INDEX('Match Results'!$G$6:$G$185,MATCH(A106,'Match Results'!$A$6:$A$185,0)),INDEX('Match Results'!$H$6:$H$185,MATCH(A106,'Match Results'!$A$6:$A$185,0)))</f>
        <v>B4</v>
      </c>
      <c r="G106" s="31" t="str">
        <f>IF(H106=1,INDEX('Match Results'!$H$6:$H$185,MATCH(A106,'Match Results'!$A$6:$A$185,0)),INDEX('Match Results'!$G$6:$G$185,MATCH(A106,'Match Results'!$A$6:$A$185,0)))</f>
        <v>B3</v>
      </c>
      <c r="H106" s="31">
        <v>2</v>
      </c>
      <c r="I106" s="31">
        <v>3</v>
      </c>
      <c r="J106" s="32"/>
      <c r="K106" s="31" t="str">
        <f>IF(J106="","",IFERROR(INDEX('Team Rosters'!$C$6:$C$205,MATCH(J106,'Team Rosters'!$B$6:$B$205,0)),"CODE NOT FOUND"))</f>
        <v/>
      </c>
      <c r="L106" s="31" t="str">
        <f t="shared" si="3"/>
        <v/>
      </c>
      <c r="M106" s="31" t="str">
        <f>IF(OR(J106="",C106&lt;&gt;"League",L106&lt;&gt;"VALID"),"",COUNTIFS($J$6:J106,J106,$G$6:G106,G106,$C$6:C106,"League"))</f>
        <v/>
      </c>
      <c r="N106" s="31" t="str">
        <f t="shared" si="4"/>
        <v/>
      </c>
      <c r="O106" s="37" t="str">
        <f t="shared" si="5"/>
        <v/>
      </c>
    </row>
    <row r="107" spans="1:15" ht="15">
      <c r="A107" s="30">
        <v>23</v>
      </c>
      <c r="B107" s="31" t="s">
        <v>493</v>
      </c>
      <c r="C107" s="31" t="s">
        <v>473</v>
      </c>
      <c r="D107" s="31" t="s">
        <v>486</v>
      </c>
      <c r="E107" s="31" t="s">
        <v>472</v>
      </c>
      <c r="F107" s="31" t="str">
        <f>IF(H107=1,INDEX('Match Results'!$G$6:$G$185,MATCH(A107,'Match Results'!$A$6:$A$185,0)),INDEX('Match Results'!$H$6:$H$185,MATCH(A107,'Match Results'!$A$6:$A$185,0)))</f>
        <v>B4</v>
      </c>
      <c r="G107" s="31" t="str">
        <f>IF(H107=1,INDEX('Match Results'!$H$6:$H$185,MATCH(A107,'Match Results'!$A$6:$A$185,0)),INDEX('Match Results'!$G$6:$G$185,MATCH(A107,'Match Results'!$A$6:$A$185,0)))</f>
        <v>B3</v>
      </c>
      <c r="H107" s="31">
        <v>2</v>
      </c>
      <c r="I107" s="31">
        <v>4</v>
      </c>
      <c r="J107" s="32"/>
      <c r="K107" s="31" t="str">
        <f>IF(J107="","",IFERROR(INDEX('Team Rosters'!$C$6:$C$205,MATCH(J107,'Team Rosters'!$B$6:$B$205,0)),"CODE NOT FOUND"))</f>
        <v/>
      </c>
      <c r="L107" s="31" t="str">
        <f t="shared" si="3"/>
        <v/>
      </c>
      <c r="M107" s="31" t="str">
        <f>IF(OR(J107="",C107&lt;&gt;"League",L107&lt;&gt;"VALID"),"",COUNTIFS($J$6:J107,J107,$G$6:G107,G107,$C$6:C107,"League"))</f>
        <v/>
      </c>
      <c r="N107" s="31" t="str">
        <f t="shared" si="4"/>
        <v/>
      </c>
      <c r="O107" s="37" t="str">
        <f t="shared" si="5"/>
        <v/>
      </c>
    </row>
    <row r="108" spans="1:15" ht="15">
      <c r="A108" s="30">
        <v>24</v>
      </c>
      <c r="B108" s="31" t="s">
        <v>493</v>
      </c>
      <c r="C108" s="31" t="s">
        <v>473</v>
      </c>
      <c r="D108" s="31" t="s">
        <v>490</v>
      </c>
      <c r="E108" s="31" t="s">
        <v>491</v>
      </c>
      <c r="F108" s="31" t="str">
        <f>IF(H108=1,INDEX('Match Results'!$G$6:$G$185,MATCH(A108,'Match Results'!$A$6:$A$185,0)),INDEX('Match Results'!$H$6:$H$185,MATCH(A108,'Match Results'!$A$6:$A$185,0)))</f>
        <v>B2</v>
      </c>
      <c r="G108" s="31" t="str">
        <f>IF(H108=1,INDEX('Match Results'!$H$6:$H$185,MATCH(A108,'Match Results'!$A$6:$A$185,0)),INDEX('Match Results'!$G$6:$G$185,MATCH(A108,'Match Results'!$A$6:$A$185,0)))</f>
        <v>B4</v>
      </c>
      <c r="H108" s="31">
        <v>1</v>
      </c>
      <c r="I108" s="31">
        <v>1</v>
      </c>
      <c r="J108" s="32"/>
      <c r="K108" s="31" t="str">
        <f>IF(J108="","",IFERROR(INDEX('Team Rosters'!$C$6:$C$205,MATCH(J108,'Team Rosters'!$B$6:$B$205,0)),"CODE NOT FOUND"))</f>
        <v/>
      </c>
      <c r="L108" s="31" t="str">
        <f t="shared" si="3"/>
        <v/>
      </c>
      <c r="M108" s="31" t="str">
        <f>IF(OR(J108="",C108&lt;&gt;"League",L108&lt;&gt;"VALID"),"",COUNTIFS($J$6:J108,J108,$G$6:G108,G108,$C$6:C108,"League"))</f>
        <v/>
      </c>
      <c r="N108" s="31" t="str">
        <f t="shared" si="4"/>
        <v/>
      </c>
      <c r="O108" s="37" t="str">
        <f t="shared" si="5"/>
        <v/>
      </c>
    </row>
    <row r="109" spans="1:15" ht="15">
      <c r="A109" s="30">
        <v>24</v>
      </c>
      <c r="B109" s="31" t="s">
        <v>493</v>
      </c>
      <c r="C109" s="31" t="s">
        <v>473</v>
      </c>
      <c r="D109" s="31" t="s">
        <v>490</v>
      </c>
      <c r="E109" s="31" t="s">
        <v>491</v>
      </c>
      <c r="F109" s="31" t="str">
        <f>IF(H109=1,INDEX('Match Results'!$G$6:$G$185,MATCH(A109,'Match Results'!$A$6:$A$185,0)),INDEX('Match Results'!$H$6:$H$185,MATCH(A109,'Match Results'!$A$6:$A$185,0)))</f>
        <v>B2</v>
      </c>
      <c r="G109" s="31" t="str">
        <f>IF(H109=1,INDEX('Match Results'!$H$6:$H$185,MATCH(A109,'Match Results'!$A$6:$A$185,0)),INDEX('Match Results'!$G$6:$G$185,MATCH(A109,'Match Results'!$A$6:$A$185,0)))</f>
        <v>B4</v>
      </c>
      <c r="H109" s="31">
        <v>1</v>
      </c>
      <c r="I109" s="31">
        <v>2</v>
      </c>
      <c r="J109" s="32"/>
      <c r="K109" s="31" t="str">
        <f>IF(J109="","",IFERROR(INDEX('Team Rosters'!$C$6:$C$205,MATCH(J109,'Team Rosters'!$B$6:$B$205,0)),"CODE NOT FOUND"))</f>
        <v/>
      </c>
      <c r="L109" s="31" t="str">
        <f t="shared" si="3"/>
        <v/>
      </c>
      <c r="M109" s="31" t="str">
        <f>IF(OR(J109="",C109&lt;&gt;"League",L109&lt;&gt;"VALID"),"",COUNTIFS($J$6:J109,J109,$G$6:G109,G109,$C$6:C109,"League"))</f>
        <v/>
      </c>
      <c r="N109" s="31" t="str">
        <f t="shared" si="4"/>
        <v/>
      </c>
      <c r="O109" s="37" t="str">
        <f t="shared" si="5"/>
        <v/>
      </c>
    </row>
    <row r="110" spans="1:15" ht="15">
      <c r="A110" s="30">
        <v>24</v>
      </c>
      <c r="B110" s="31" t="s">
        <v>493</v>
      </c>
      <c r="C110" s="31" t="s">
        <v>473</v>
      </c>
      <c r="D110" s="31" t="s">
        <v>490</v>
      </c>
      <c r="E110" s="31" t="s">
        <v>491</v>
      </c>
      <c r="F110" s="31" t="str">
        <f>IF(H110=1,INDEX('Match Results'!$G$6:$G$185,MATCH(A110,'Match Results'!$A$6:$A$185,0)),INDEX('Match Results'!$H$6:$H$185,MATCH(A110,'Match Results'!$A$6:$A$185,0)))</f>
        <v>B2</v>
      </c>
      <c r="G110" s="31" t="str">
        <f>IF(H110=1,INDEX('Match Results'!$H$6:$H$185,MATCH(A110,'Match Results'!$A$6:$A$185,0)),INDEX('Match Results'!$G$6:$G$185,MATCH(A110,'Match Results'!$A$6:$A$185,0)))</f>
        <v>B4</v>
      </c>
      <c r="H110" s="31">
        <v>1</v>
      </c>
      <c r="I110" s="31">
        <v>3</v>
      </c>
      <c r="J110" s="32"/>
      <c r="K110" s="31" t="str">
        <f>IF(J110="","",IFERROR(INDEX('Team Rosters'!$C$6:$C$205,MATCH(J110,'Team Rosters'!$B$6:$B$205,0)),"CODE NOT FOUND"))</f>
        <v/>
      </c>
      <c r="L110" s="31" t="str">
        <f t="shared" si="3"/>
        <v/>
      </c>
      <c r="M110" s="31" t="str">
        <f>IF(OR(J110="",C110&lt;&gt;"League",L110&lt;&gt;"VALID"),"",COUNTIFS($J$6:J110,J110,$G$6:G110,G110,$C$6:C110,"League"))</f>
        <v/>
      </c>
      <c r="N110" s="31" t="str">
        <f t="shared" si="4"/>
        <v/>
      </c>
      <c r="O110" s="37" t="str">
        <f t="shared" si="5"/>
        <v/>
      </c>
    </row>
    <row r="111" spans="1:15" ht="15">
      <c r="A111" s="30">
        <v>24</v>
      </c>
      <c r="B111" s="31" t="s">
        <v>493</v>
      </c>
      <c r="C111" s="31" t="s">
        <v>473</v>
      </c>
      <c r="D111" s="31" t="s">
        <v>490</v>
      </c>
      <c r="E111" s="31" t="s">
        <v>491</v>
      </c>
      <c r="F111" s="31" t="str">
        <f>IF(H111=1,INDEX('Match Results'!$G$6:$G$185,MATCH(A111,'Match Results'!$A$6:$A$185,0)),INDEX('Match Results'!$H$6:$H$185,MATCH(A111,'Match Results'!$A$6:$A$185,0)))</f>
        <v>B2</v>
      </c>
      <c r="G111" s="31" t="str">
        <f>IF(H111=1,INDEX('Match Results'!$H$6:$H$185,MATCH(A111,'Match Results'!$A$6:$A$185,0)),INDEX('Match Results'!$G$6:$G$185,MATCH(A111,'Match Results'!$A$6:$A$185,0)))</f>
        <v>B4</v>
      </c>
      <c r="H111" s="31">
        <v>1</v>
      </c>
      <c r="I111" s="31">
        <v>4</v>
      </c>
      <c r="J111" s="32"/>
      <c r="K111" s="31" t="str">
        <f>IF(J111="","",IFERROR(INDEX('Team Rosters'!$C$6:$C$205,MATCH(J111,'Team Rosters'!$B$6:$B$205,0)),"CODE NOT FOUND"))</f>
        <v/>
      </c>
      <c r="L111" s="31" t="str">
        <f t="shared" si="3"/>
        <v/>
      </c>
      <c r="M111" s="31" t="str">
        <f>IF(OR(J111="",C111&lt;&gt;"League",L111&lt;&gt;"VALID"),"",COUNTIFS($J$6:J111,J111,$G$6:G111,G111,$C$6:C111,"League"))</f>
        <v/>
      </c>
      <c r="N111" s="31" t="str">
        <f t="shared" si="4"/>
        <v/>
      </c>
      <c r="O111" s="37" t="str">
        <f t="shared" si="5"/>
        <v/>
      </c>
    </row>
    <row r="112" spans="1:15" ht="15">
      <c r="A112" s="30">
        <v>24</v>
      </c>
      <c r="B112" s="31" t="s">
        <v>493</v>
      </c>
      <c r="C112" s="31" t="s">
        <v>473</v>
      </c>
      <c r="D112" s="31" t="s">
        <v>490</v>
      </c>
      <c r="E112" s="31" t="s">
        <v>491</v>
      </c>
      <c r="F112" s="31" t="str">
        <f>IF(H112=1,INDEX('Match Results'!$G$6:$G$185,MATCH(A112,'Match Results'!$A$6:$A$185,0)),INDEX('Match Results'!$H$6:$H$185,MATCH(A112,'Match Results'!$A$6:$A$185,0)))</f>
        <v>B2</v>
      </c>
      <c r="G112" s="31" t="str">
        <f>IF(H112=1,INDEX('Match Results'!$H$6:$H$185,MATCH(A112,'Match Results'!$A$6:$A$185,0)),INDEX('Match Results'!$G$6:$G$185,MATCH(A112,'Match Results'!$A$6:$A$185,0)))</f>
        <v>B4</v>
      </c>
      <c r="H112" s="31">
        <v>1</v>
      </c>
      <c r="I112" s="31">
        <v>5</v>
      </c>
      <c r="J112" s="32"/>
      <c r="K112" s="31" t="str">
        <f>IF(J112="","",IFERROR(INDEX('Team Rosters'!$C$6:$C$205,MATCH(J112,'Team Rosters'!$B$6:$B$205,0)),"CODE NOT FOUND"))</f>
        <v/>
      </c>
      <c r="L112" s="31" t="str">
        <f t="shared" si="3"/>
        <v/>
      </c>
      <c r="M112" s="31" t="str">
        <f>IF(OR(J112="",C112&lt;&gt;"League",L112&lt;&gt;"VALID"),"",COUNTIFS($J$6:J112,J112,$G$6:G112,G112,$C$6:C112,"League"))</f>
        <v/>
      </c>
      <c r="N112" s="31" t="str">
        <f t="shared" si="4"/>
        <v/>
      </c>
      <c r="O112" s="37" t="str">
        <f t="shared" si="5"/>
        <v/>
      </c>
    </row>
    <row r="113" spans="1:15" ht="15">
      <c r="A113" s="30">
        <v>24</v>
      </c>
      <c r="B113" s="31" t="s">
        <v>493</v>
      </c>
      <c r="C113" s="31" t="s">
        <v>473</v>
      </c>
      <c r="D113" s="31" t="s">
        <v>490</v>
      </c>
      <c r="E113" s="31" t="s">
        <v>491</v>
      </c>
      <c r="F113" s="31" t="str">
        <f>IF(H113=1,INDEX('Match Results'!$G$6:$G$185,MATCH(A113,'Match Results'!$A$6:$A$185,0)),INDEX('Match Results'!$H$6:$H$185,MATCH(A113,'Match Results'!$A$6:$A$185,0)))</f>
        <v>B2</v>
      </c>
      <c r="G113" s="31" t="str">
        <f>IF(H113=1,INDEX('Match Results'!$H$6:$H$185,MATCH(A113,'Match Results'!$A$6:$A$185,0)),INDEX('Match Results'!$G$6:$G$185,MATCH(A113,'Match Results'!$A$6:$A$185,0)))</f>
        <v>B4</v>
      </c>
      <c r="H113" s="31">
        <v>1</v>
      </c>
      <c r="I113" s="31">
        <v>6</v>
      </c>
      <c r="J113" s="32"/>
      <c r="K113" s="31" t="str">
        <f>IF(J113="","",IFERROR(INDEX('Team Rosters'!$C$6:$C$205,MATCH(J113,'Team Rosters'!$B$6:$B$205,0)),"CODE NOT FOUND"))</f>
        <v/>
      </c>
      <c r="L113" s="31" t="str">
        <f t="shared" si="3"/>
        <v/>
      </c>
      <c r="M113" s="31" t="str">
        <f>IF(OR(J113="",C113&lt;&gt;"League",L113&lt;&gt;"VALID"),"",COUNTIFS($J$6:J113,J113,$G$6:G113,G113,$C$6:C113,"League"))</f>
        <v/>
      </c>
      <c r="N113" s="31" t="str">
        <f t="shared" si="4"/>
        <v/>
      </c>
      <c r="O113" s="37" t="str">
        <f t="shared" si="5"/>
        <v/>
      </c>
    </row>
    <row r="114" spans="1:15" ht="15">
      <c r="A114" s="30">
        <v>24</v>
      </c>
      <c r="B114" s="31" t="s">
        <v>493</v>
      </c>
      <c r="C114" s="31" t="s">
        <v>473</v>
      </c>
      <c r="D114" s="31" t="s">
        <v>490</v>
      </c>
      <c r="E114" s="31" t="s">
        <v>491</v>
      </c>
      <c r="F114" s="31" t="str">
        <f>IF(H114=1,INDEX('Match Results'!$G$6:$G$185,MATCH(A114,'Match Results'!$A$6:$A$185,0)),INDEX('Match Results'!$H$6:$H$185,MATCH(A114,'Match Results'!$A$6:$A$185,0)))</f>
        <v>B2</v>
      </c>
      <c r="G114" s="31" t="str">
        <f>IF(H114=1,INDEX('Match Results'!$H$6:$H$185,MATCH(A114,'Match Results'!$A$6:$A$185,0)),INDEX('Match Results'!$G$6:$G$185,MATCH(A114,'Match Results'!$A$6:$A$185,0)))</f>
        <v>B4</v>
      </c>
      <c r="H114" s="31">
        <v>1</v>
      </c>
      <c r="I114" s="31">
        <v>7</v>
      </c>
      <c r="J114" s="32"/>
      <c r="K114" s="31" t="str">
        <f>IF(J114="","",IFERROR(INDEX('Team Rosters'!$C$6:$C$205,MATCH(J114,'Team Rosters'!$B$6:$B$205,0)),"CODE NOT FOUND"))</f>
        <v/>
      </c>
      <c r="L114" s="31" t="str">
        <f t="shared" si="3"/>
        <v/>
      </c>
      <c r="M114" s="31" t="str">
        <f>IF(OR(J114="",C114&lt;&gt;"League",L114&lt;&gt;"VALID"),"",COUNTIFS($J$6:J114,J114,$G$6:G114,G114,$C$6:C114,"League"))</f>
        <v/>
      </c>
      <c r="N114" s="31" t="str">
        <f t="shared" si="4"/>
        <v/>
      </c>
      <c r="O114" s="37" t="str">
        <f t="shared" si="5"/>
        <v/>
      </c>
    </row>
    <row r="115" spans="1:15" ht="15">
      <c r="A115" s="30">
        <v>24</v>
      </c>
      <c r="B115" s="31" t="s">
        <v>493</v>
      </c>
      <c r="C115" s="31" t="s">
        <v>473</v>
      </c>
      <c r="D115" s="31" t="s">
        <v>490</v>
      </c>
      <c r="E115" s="31" t="s">
        <v>491</v>
      </c>
      <c r="F115" s="31" t="str">
        <f>IF(H115=1,INDEX('Match Results'!$G$6:$G$185,MATCH(A115,'Match Results'!$A$6:$A$185,0)),INDEX('Match Results'!$H$6:$H$185,MATCH(A115,'Match Results'!$A$6:$A$185,0)))</f>
        <v>B4</v>
      </c>
      <c r="G115" s="31" t="str">
        <f>IF(H115=1,INDEX('Match Results'!$H$6:$H$185,MATCH(A115,'Match Results'!$A$6:$A$185,0)),INDEX('Match Results'!$G$6:$G$185,MATCH(A115,'Match Results'!$A$6:$A$185,0)))</f>
        <v>B2</v>
      </c>
      <c r="H115" s="31">
        <v>2</v>
      </c>
      <c r="I115" s="31">
        <v>8</v>
      </c>
      <c r="J115" s="32"/>
      <c r="K115" s="31" t="str">
        <f>IF(J115="","",IFERROR(INDEX('Team Rosters'!$C$6:$C$205,MATCH(J115,'Team Rosters'!$B$6:$B$205,0)),"CODE NOT FOUND"))</f>
        <v/>
      </c>
      <c r="L115" s="31" t="str">
        <f t="shared" si="3"/>
        <v/>
      </c>
      <c r="M115" s="31" t="str">
        <f>IF(OR(J115="",C115&lt;&gt;"League",L115&lt;&gt;"VALID"),"",COUNTIFS($J$6:J115,J115,$G$6:G115,G115,$C$6:C115,"League"))</f>
        <v/>
      </c>
      <c r="N115" s="31" t="str">
        <f t="shared" si="4"/>
        <v/>
      </c>
      <c r="O115" s="37" t="str">
        <f t="shared" si="5"/>
        <v/>
      </c>
    </row>
    <row r="116" spans="1:15" ht="15">
      <c r="A116" s="30">
        <v>24</v>
      </c>
      <c r="B116" s="31" t="s">
        <v>493</v>
      </c>
      <c r="C116" s="31" t="s">
        <v>473</v>
      </c>
      <c r="D116" s="31" t="s">
        <v>490</v>
      </c>
      <c r="E116" s="31" t="s">
        <v>491</v>
      </c>
      <c r="F116" s="31" t="str">
        <f>IF(H116=1,INDEX('Match Results'!$G$6:$G$185,MATCH(A116,'Match Results'!$A$6:$A$185,0)),INDEX('Match Results'!$H$6:$H$185,MATCH(A116,'Match Results'!$A$6:$A$185,0)))</f>
        <v>B4</v>
      </c>
      <c r="G116" s="31" t="str">
        <f>IF(H116=1,INDEX('Match Results'!$H$6:$H$185,MATCH(A116,'Match Results'!$A$6:$A$185,0)),INDEX('Match Results'!$G$6:$G$185,MATCH(A116,'Match Results'!$A$6:$A$185,0)))</f>
        <v>B2</v>
      </c>
      <c r="H116" s="31">
        <v>2</v>
      </c>
      <c r="I116" s="31">
        <v>9</v>
      </c>
      <c r="J116" s="32"/>
      <c r="K116" s="31" t="str">
        <f>IF(J116="","",IFERROR(INDEX('Team Rosters'!$C$6:$C$205,MATCH(J116,'Team Rosters'!$B$6:$B$205,0)),"CODE NOT FOUND"))</f>
        <v/>
      </c>
      <c r="L116" s="31" t="str">
        <f t="shared" si="3"/>
        <v/>
      </c>
      <c r="M116" s="31" t="str">
        <f>IF(OR(J116="",C116&lt;&gt;"League",L116&lt;&gt;"VALID"),"",COUNTIFS($J$6:J116,J116,$G$6:G116,G116,$C$6:C116,"League"))</f>
        <v/>
      </c>
      <c r="N116" s="31" t="str">
        <f t="shared" si="4"/>
        <v/>
      </c>
      <c r="O116" s="37" t="str">
        <f t="shared" si="5"/>
        <v/>
      </c>
    </row>
    <row r="117" spans="1:15" ht="15">
      <c r="A117" s="30">
        <v>24</v>
      </c>
      <c r="B117" s="31" t="s">
        <v>493</v>
      </c>
      <c r="C117" s="31" t="s">
        <v>473</v>
      </c>
      <c r="D117" s="31" t="s">
        <v>490</v>
      </c>
      <c r="E117" s="31" t="s">
        <v>491</v>
      </c>
      <c r="F117" s="31" t="str">
        <f>IF(H117=1,INDEX('Match Results'!$G$6:$G$185,MATCH(A117,'Match Results'!$A$6:$A$185,0)),INDEX('Match Results'!$H$6:$H$185,MATCH(A117,'Match Results'!$A$6:$A$185,0)))</f>
        <v>B4</v>
      </c>
      <c r="G117" s="31" t="str">
        <f>IF(H117=1,INDEX('Match Results'!$H$6:$H$185,MATCH(A117,'Match Results'!$A$6:$A$185,0)),INDEX('Match Results'!$G$6:$G$185,MATCH(A117,'Match Results'!$A$6:$A$185,0)))</f>
        <v>B2</v>
      </c>
      <c r="H117" s="31">
        <v>2</v>
      </c>
      <c r="I117" s="31">
        <v>10</v>
      </c>
      <c r="J117" s="32"/>
      <c r="K117" s="31" t="str">
        <f>IF(J117="","",IFERROR(INDEX('Team Rosters'!$C$6:$C$205,MATCH(J117,'Team Rosters'!$B$6:$B$205,0)),"CODE NOT FOUND"))</f>
        <v/>
      </c>
      <c r="L117" s="31" t="str">
        <f t="shared" si="3"/>
        <v/>
      </c>
      <c r="M117" s="31" t="str">
        <f>IF(OR(J117="",C117&lt;&gt;"League",L117&lt;&gt;"VALID"),"",COUNTIFS($J$6:J117,J117,$G$6:G117,G117,$C$6:C117,"League"))</f>
        <v/>
      </c>
      <c r="N117" s="31" t="str">
        <f t="shared" si="4"/>
        <v/>
      </c>
      <c r="O117" s="37" t="str">
        <f t="shared" si="5"/>
        <v/>
      </c>
    </row>
    <row r="118" spans="1:15" ht="15">
      <c r="A118" s="30">
        <v>24</v>
      </c>
      <c r="B118" s="31" t="s">
        <v>493</v>
      </c>
      <c r="C118" s="31" t="s">
        <v>473</v>
      </c>
      <c r="D118" s="31" t="s">
        <v>490</v>
      </c>
      <c r="E118" s="31" t="s">
        <v>491</v>
      </c>
      <c r="F118" s="31" t="str">
        <f>IF(H118=1,INDEX('Match Results'!$G$6:$G$185,MATCH(A118,'Match Results'!$A$6:$A$185,0)),INDEX('Match Results'!$H$6:$H$185,MATCH(A118,'Match Results'!$A$6:$A$185,0)))</f>
        <v>B4</v>
      </c>
      <c r="G118" s="31" t="str">
        <f>IF(H118=1,INDEX('Match Results'!$H$6:$H$185,MATCH(A118,'Match Results'!$A$6:$A$185,0)),INDEX('Match Results'!$G$6:$G$185,MATCH(A118,'Match Results'!$A$6:$A$185,0)))</f>
        <v>B2</v>
      </c>
      <c r="H118" s="31">
        <v>2</v>
      </c>
      <c r="I118" s="31">
        <v>11</v>
      </c>
      <c r="J118" s="32"/>
      <c r="K118" s="31" t="str">
        <f>IF(J118="","",IFERROR(INDEX('Team Rosters'!$C$6:$C$205,MATCH(J118,'Team Rosters'!$B$6:$B$205,0)),"CODE NOT FOUND"))</f>
        <v/>
      </c>
      <c r="L118" s="31" t="str">
        <f t="shared" si="3"/>
        <v/>
      </c>
      <c r="M118" s="31" t="str">
        <f>IF(OR(J118="",C118&lt;&gt;"League",L118&lt;&gt;"VALID"),"",COUNTIFS($J$6:J118,J118,$G$6:G118,G118,$C$6:C118,"League"))</f>
        <v/>
      </c>
      <c r="N118" s="31" t="str">
        <f t="shared" si="4"/>
        <v/>
      </c>
      <c r="O118" s="37" t="str">
        <f t="shared" si="5"/>
        <v/>
      </c>
    </row>
    <row r="119" spans="1:15" ht="15">
      <c r="A119" s="30">
        <v>24</v>
      </c>
      <c r="B119" s="31" t="s">
        <v>493</v>
      </c>
      <c r="C119" s="31" t="s">
        <v>473</v>
      </c>
      <c r="D119" s="31" t="s">
        <v>490</v>
      </c>
      <c r="E119" s="31" t="s">
        <v>491</v>
      </c>
      <c r="F119" s="31" t="str">
        <f>IF(H119=1,INDEX('Match Results'!$G$6:$G$185,MATCH(A119,'Match Results'!$A$6:$A$185,0)),INDEX('Match Results'!$H$6:$H$185,MATCH(A119,'Match Results'!$A$6:$A$185,0)))</f>
        <v>B4</v>
      </c>
      <c r="G119" s="31" t="str">
        <f>IF(H119=1,INDEX('Match Results'!$H$6:$H$185,MATCH(A119,'Match Results'!$A$6:$A$185,0)),INDEX('Match Results'!$G$6:$G$185,MATCH(A119,'Match Results'!$A$6:$A$185,0)))</f>
        <v>B2</v>
      </c>
      <c r="H119" s="31">
        <v>2</v>
      </c>
      <c r="I119" s="31">
        <v>12</v>
      </c>
      <c r="J119" s="32"/>
      <c r="K119" s="31" t="str">
        <f>IF(J119="","",IFERROR(INDEX('Team Rosters'!$C$6:$C$205,MATCH(J119,'Team Rosters'!$B$6:$B$205,0)),"CODE NOT FOUND"))</f>
        <v/>
      </c>
      <c r="L119" s="31" t="str">
        <f t="shared" si="3"/>
        <v/>
      </c>
      <c r="M119" s="31" t="str">
        <f>IF(OR(J119="",C119&lt;&gt;"League",L119&lt;&gt;"VALID"),"",COUNTIFS($J$6:J119,J119,$G$6:G119,G119,$C$6:C119,"League"))</f>
        <v/>
      </c>
      <c r="N119" s="31" t="str">
        <f t="shared" si="4"/>
        <v/>
      </c>
      <c r="O119" s="37" t="str">
        <f t="shared" si="5"/>
        <v/>
      </c>
    </row>
    <row r="120" spans="1:15" ht="15">
      <c r="A120" s="30">
        <v>24</v>
      </c>
      <c r="B120" s="31" t="s">
        <v>493</v>
      </c>
      <c r="C120" s="31" t="s">
        <v>473</v>
      </c>
      <c r="D120" s="31" t="s">
        <v>490</v>
      </c>
      <c r="E120" s="31" t="s">
        <v>491</v>
      </c>
      <c r="F120" s="31" t="str">
        <f>IF(H120=1,INDEX('Match Results'!$G$6:$G$185,MATCH(A120,'Match Results'!$A$6:$A$185,0)),INDEX('Match Results'!$H$6:$H$185,MATCH(A120,'Match Results'!$A$6:$A$185,0)))</f>
        <v>B4</v>
      </c>
      <c r="G120" s="31" t="str">
        <f>IF(H120=1,INDEX('Match Results'!$H$6:$H$185,MATCH(A120,'Match Results'!$A$6:$A$185,0)),INDEX('Match Results'!$G$6:$G$185,MATCH(A120,'Match Results'!$A$6:$A$185,0)))</f>
        <v>B2</v>
      </c>
      <c r="H120" s="31">
        <v>2</v>
      </c>
      <c r="I120" s="31">
        <v>13</v>
      </c>
      <c r="J120" s="32"/>
      <c r="K120" s="31" t="str">
        <f>IF(J120="","",IFERROR(INDEX('Team Rosters'!$C$6:$C$205,MATCH(J120,'Team Rosters'!$B$6:$B$205,0)),"CODE NOT FOUND"))</f>
        <v/>
      </c>
      <c r="L120" s="31" t="str">
        <f t="shared" si="3"/>
        <v/>
      </c>
      <c r="M120" s="31" t="str">
        <f>IF(OR(J120="",C120&lt;&gt;"League",L120&lt;&gt;"VALID"),"",COUNTIFS($J$6:J120,J120,$G$6:G120,G120,$C$6:C120,"League"))</f>
        <v/>
      </c>
      <c r="N120" s="31" t="str">
        <f t="shared" si="4"/>
        <v/>
      </c>
      <c r="O120" s="37" t="str">
        <f t="shared" si="5"/>
        <v/>
      </c>
    </row>
    <row r="121" spans="1:15" ht="15">
      <c r="A121" s="30">
        <v>24</v>
      </c>
      <c r="B121" s="31" t="s">
        <v>493</v>
      </c>
      <c r="C121" s="31" t="s">
        <v>473</v>
      </c>
      <c r="D121" s="31" t="s">
        <v>490</v>
      </c>
      <c r="E121" s="31" t="s">
        <v>491</v>
      </c>
      <c r="F121" s="31" t="str">
        <f>IF(H121=1,INDEX('Match Results'!$G$6:$G$185,MATCH(A121,'Match Results'!$A$6:$A$185,0)),INDEX('Match Results'!$H$6:$H$185,MATCH(A121,'Match Results'!$A$6:$A$185,0)))</f>
        <v>B4</v>
      </c>
      <c r="G121" s="31" t="str">
        <f>IF(H121=1,INDEX('Match Results'!$H$6:$H$185,MATCH(A121,'Match Results'!$A$6:$A$185,0)),INDEX('Match Results'!$G$6:$G$185,MATCH(A121,'Match Results'!$A$6:$A$185,0)))</f>
        <v>B2</v>
      </c>
      <c r="H121" s="31">
        <v>2</v>
      </c>
      <c r="I121" s="31">
        <v>14</v>
      </c>
      <c r="J121" s="32"/>
      <c r="K121" s="31" t="str">
        <f>IF(J121="","",IFERROR(INDEX('Team Rosters'!$C$6:$C$205,MATCH(J121,'Team Rosters'!$B$6:$B$205,0)),"CODE NOT FOUND"))</f>
        <v/>
      </c>
      <c r="L121" s="31" t="str">
        <f t="shared" si="3"/>
        <v/>
      </c>
      <c r="M121" s="31" t="str">
        <f>IF(OR(J121="",C121&lt;&gt;"League",L121&lt;&gt;"VALID"),"",COUNTIFS($J$6:J121,J121,$G$6:G121,G121,$C$6:C121,"League"))</f>
        <v/>
      </c>
      <c r="N121" s="31" t="str">
        <f t="shared" si="4"/>
        <v/>
      </c>
      <c r="O121" s="37" t="str">
        <f t="shared" si="5"/>
        <v/>
      </c>
    </row>
    <row r="122" spans="1:15" ht="15">
      <c r="A122" s="30">
        <v>25</v>
      </c>
      <c r="B122" s="31" t="s">
        <v>494</v>
      </c>
      <c r="C122" s="31" t="s">
        <v>473</v>
      </c>
      <c r="D122" s="31" t="s">
        <v>471</v>
      </c>
      <c r="E122" s="31" t="s">
        <v>477</v>
      </c>
      <c r="F122" s="31" t="str">
        <f>IF(H122=1,INDEX('Match Results'!$G$6:$G$185,MATCH(A122,'Match Results'!$A$6:$A$185,0)),INDEX('Match Results'!$H$6:$H$185,MATCH(A122,'Match Results'!$A$6:$A$185,0)))</f>
        <v>A1</v>
      </c>
      <c r="G122" s="31" t="str">
        <f>IF(H122=1,INDEX('Match Results'!$H$6:$H$185,MATCH(A122,'Match Results'!$A$6:$A$185,0)),INDEX('Match Results'!$G$6:$G$185,MATCH(A122,'Match Results'!$A$6:$A$185,0)))</f>
        <v>A2</v>
      </c>
      <c r="H122" s="31">
        <v>1</v>
      </c>
      <c r="I122" s="31">
        <v>1</v>
      </c>
      <c r="J122" s="32"/>
      <c r="K122" s="31" t="str">
        <f>IF(J122="","",IFERROR(INDEX('Team Rosters'!$C$6:$C$205,MATCH(J122,'Team Rosters'!$B$6:$B$205,0)),"CODE NOT FOUND"))</f>
        <v/>
      </c>
      <c r="L122" s="31" t="str">
        <f t="shared" si="3"/>
        <v/>
      </c>
      <c r="M122" s="31" t="str">
        <f>IF(OR(J122="",C122&lt;&gt;"League",L122&lt;&gt;"VALID"),"",COUNTIFS($J$6:J122,J122,$G$6:G122,G122,$C$6:C122,"League"))</f>
        <v/>
      </c>
      <c r="N122" s="31" t="str">
        <f t="shared" si="4"/>
        <v/>
      </c>
      <c r="O122" s="37" t="str">
        <f t="shared" si="5"/>
        <v/>
      </c>
    </row>
    <row r="123" spans="1:15" ht="15">
      <c r="A123" s="30">
        <v>25</v>
      </c>
      <c r="B123" s="31" t="s">
        <v>494</v>
      </c>
      <c r="C123" s="31" t="s">
        <v>473</v>
      </c>
      <c r="D123" s="31" t="s">
        <v>471</v>
      </c>
      <c r="E123" s="31" t="s">
        <v>477</v>
      </c>
      <c r="F123" s="31" t="str">
        <f>IF(H123=1,INDEX('Match Results'!$G$6:$G$185,MATCH(A123,'Match Results'!$A$6:$A$185,0)),INDEX('Match Results'!$H$6:$H$185,MATCH(A123,'Match Results'!$A$6:$A$185,0)))</f>
        <v>A1</v>
      </c>
      <c r="G123" s="31" t="str">
        <f>IF(H123=1,INDEX('Match Results'!$H$6:$H$185,MATCH(A123,'Match Results'!$A$6:$A$185,0)),INDEX('Match Results'!$G$6:$G$185,MATCH(A123,'Match Results'!$A$6:$A$185,0)))</f>
        <v>A2</v>
      </c>
      <c r="H123" s="31">
        <v>1</v>
      </c>
      <c r="I123" s="31">
        <v>2</v>
      </c>
      <c r="J123" s="32"/>
      <c r="K123" s="31" t="str">
        <f>IF(J123="","",IFERROR(INDEX('Team Rosters'!$C$6:$C$205,MATCH(J123,'Team Rosters'!$B$6:$B$205,0)),"CODE NOT FOUND"))</f>
        <v/>
      </c>
      <c r="L123" s="31" t="str">
        <f t="shared" si="3"/>
        <v/>
      </c>
      <c r="M123" s="31" t="str">
        <f>IF(OR(J123="",C123&lt;&gt;"League",L123&lt;&gt;"VALID"),"",COUNTIFS($J$6:J123,J123,$G$6:G123,G123,$C$6:C123,"League"))</f>
        <v/>
      </c>
      <c r="N123" s="31" t="str">
        <f t="shared" si="4"/>
        <v/>
      </c>
      <c r="O123" s="37" t="str">
        <f t="shared" si="5"/>
        <v/>
      </c>
    </row>
    <row r="124" spans="1:15" ht="15">
      <c r="A124" s="30">
        <v>25</v>
      </c>
      <c r="B124" s="31" t="s">
        <v>494</v>
      </c>
      <c r="C124" s="31" t="s">
        <v>473</v>
      </c>
      <c r="D124" s="31" t="s">
        <v>471</v>
      </c>
      <c r="E124" s="31" t="s">
        <v>477</v>
      </c>
      <c r="F124" s="31" t="str">
        <f>IF(H124=1,INDEX('Match Results'!$G$6:$G$185,MATCH(A124,'Match Results'!$A$6:$A$185,0)),INDEX('Match Results'!$H$6:$H$185,MATCH(A124,'Match Results'!$A$6:$A$185,0)))</f>
        <v>A2</v>
      </c>
      <c r="G124" s="31" t="str">
        <f>IF(H124=1,INDEX('Match Results'!$H$6:$H$185,MATCH(A124,'Match Results'!$A$6:$A$185,0)),INDEX('Match Results'!$G$6:$G$185,MATCH(A124,'Match Results'!$A$6:$A$185,0)))</f>
        <v>A1</v>
      </c>
      <c r="H124" s="31">
        <v>2</v>
      </c>
      <c r="I124" s="31">
        <v>3</v>
      </c>
      <c r="J124" s="32"/>
      <c r="K124" s="31" t="str">
        <f>IF(J124="","",IFERROR(INDEX('Team Rosters'!$C$6:$C$205,MATCH(J124,'Team Rosters'!$B$6:$B$205,0)),"CODE NOT FOUND"))</f>
        <v/>
      </c>
      <c r="L124" s="31" t="str">
        <f t="shared" si="3"/>
        <v/>
      </c>
      <c r="M124" s="31" t="str">
        <f>IF(OR(J124="",C124&lt;&gt;"League",L124&lt;&gt;"VALID"),"",COUNTIFS($J$6:J124,J124,$G$6:G124,G124,$C$6:C124,"League"))</f>
        <v/>
      </c>
      <c r="N124" s="31" t="str">
        <f t="shared" si="4"/>
        <v/>
      </c>
      <c r="O124" s="37" t="str">
        <f t="shared" si="5"/>
        <v/>
      </c>
    </row>
    <row r="125" spans="1:15" ht="15">
      <c r="A125" s="30">
        <v>25</v>
      </c>
      <c r="B125" s="31" t="s">
        <v>494</v>
      </c>
      <c r="C125" s="31" t="s">
        <v>473</v>
      </c>
      <c r="D125" s="31" t="s">
        <v>471</v>
      </c>
      <c r="E125" s="31" t="s">
        <v>477</v>
      </c>
      <c r="F125" s="31" t="str">
        <f>IF(H125=1,INDEX('Match Results'!$G$6:$G$185,MATCH(A125,'Match Results'!$A$6:$A$185,0)),INDEX('Match Results'!$H$6:$H$185,MATCH(A125,'Match Results'!$A$6:$A$185,0)))</f>
        <v>A2</v>
      </c>
      <c r="G125" s="31" t="str">
        <f>IF(H125=1,INDEX('Match Results'!$H$6:$H$185,MATCH(A125,'Match Results'!$A$6:$A$185,0)),INDEX('Match Results'!$G$6:$G$185,MATCH(A125,'Match Results'!$A$6:$A$185,0)))</f>
        <v>A1</v>
      </c>
      <c r="H125" s="31">
        <v>2</v>
      </c>
      <c r="I125" s="31">
        <v>4</v>
      </c>
      <c r="J125" s="32"/>
      <c r="K125" s="31" t="str">
        <f>IF(J125="","",IFERROR(INDEX('Team Rosters'!$C$6:$C$205,MATCH(J125,'Team Rosters'!$B$6:$B$205,0)),"CODE NOT FOUND"))</f>
        <v/>
      </c>
      <c r="L125" s="31" t="str">
        <f t="shared" si="3"/>
        <v/>
      </c>
      <c r="M125" s="31" t="str">
        <f>IF(OR(J125="",C125&lt;&gt;"League",L125&lt;&gt;"VALID"),"",COUNTIFS($J$6:J125,J125,$G$6:G125,G125,$C$6:C125,"League"))</f>
        <v/>
      </c>
      <c r="N125" s="31" t="str">
        <f t="shared" si="4"/>
        <v/>
      </c>
      <c r="O125" s="37" t="str">
        <f t="shared" si="5"/>
        <v/>
      </c>
    </row>
    <row r="126" spans="1:15" ht="15">
      <c r="A126" s="30">
        <v>26</v>
      </c>
      <c r="B126" s="31" t="s">
        <v>494</v>
      </c>
      <c r="C126" s="31" t="s">
        <v>473</v>
      </c>
      <c r="D126" s="31" t="s">
        <v>471</v>
      </c>
      <c r="E126" s="31" t="s">
        <v>475</v>
      </c>
      <c r="F126" s="31" t="str">
        <f>IF(H126=1,INDEX('Match Results'!$G$6:$G$185,MATCH(A126,'Match Results'!$A$6:$A$185,0)),INDEX('Match Results'!$H$6:$H$185,MATCH(A126,'Match Results'!$A$6:$A$185,0)))</f>
        <v>B1</v>
      </c>
      <c r="G126" s="31" t="str">
        <f>IF(H126=1,INDEX('Match Results'!$H$6:$H$185,MATCH(A126,'Match Results'!$A$6:$A$185,0)),INDEX('Match Results'!$G$6:$G$185,MATCH(A126,'Match Results'!$A$6:$A$185,0)))</f>
        <v>B3</v>
      </c>
      <c r="H126" s="31">
        <v>1</v>
      </c>
      <c r="I126" s="31">
        <v>1</v>
      </c>
      <c r="J126" s="32"/>
      <c r="K126" s="31" t="str">
        <f>IF(J126="","",IFERROR(INDEX('Team Rosters'!$C$6:$C$205,MATCH(J126,'Team Rosters'!$B$6:$B$205,0)),"CODE NOT FOUND"))</f>
        <v/>
      </c>
      <c r="L126" s="31" t="str">
        <f t="shared" si="3"/>
        <v/>
      </c>
      <c r="M126" s="31" t="str">
        <f>IF(OR(J126="",C126&lt;&gt;"League",L126&lt;&gt;"VALID"),"",COUNTIFS($J$6:J126,J126,$G$6:G126,G126,$C$6:C126,"League"))</f>
        <v/>
      </c>
      <c r="N126" s="31" t="str">
        <f t="shared" si="4"/>
        <v/>
      </c>
      <c r="O126" s="37" t="str">
        <f t="shared" si="5"/>
        <v/>
      </c>
    </row>
    <row r="127" spans="1:15" ht="15">
      <c r="A127" s="30">
        <v>26</v>
      </c>
      <c r="B127" s="31" t="s">
        <v>494</v>
      </c>
      <c r="C127" s="31" t="s">
        <v>473</v>
      </c>
      <c r="D127" s="31" t="s">
        <v>471</v>
      </c>
      <c r="E127" s="31" t="s">
        <v>475</v>
      </c>
      <c r="F127" s="31" t="str">
        <f>IF(H127=1,INDEX('Match Results'!$G$6:$G$185,MATCH(A127,'Match Results'!$A$6:$A$185,0)),INDEX('Match Results'!$H$6:$H$185,MATCH(A127,'Match Results'!$A$6:$A$185,0)))</f>
        <v>B1</v>
      </c>
      <c r="G127" s="31" t="str">
        <f>IF(H127=1,INDEX('Match Results'!$H$6:$H$185,MATCH(A127,'Match Results'!$A$6:$A$185,0)),INDEX('Match Results'!$G$6:$G$185,MATCH(A127,'Match Results'!$A$6:$A$185,0)))</f>
        <v>B3</v>
      </c>
      <c r="H127" s="31">
        <v>1</v>
      </c>
      <c r="I127" s="31">
        <v>2</v>
      </c>
      <c r="J127" s="32"/>
      <c r="K127" s="31" t="str">
        <f>IF(J127="","",IFERROR(INDEX('Team Rosters'!$C$6:$C$205,MATCH(J127,'Team Rosters'!$B$6:$B$205,0)),"CODE NOT FOUND"))</f>
        <v/>
      </c>
      <c r="L127" s="31" t="str">
        <f t="shared" si="3"/>
        <v/>
      </c>
      <c r="M127" s="31" t="str">
        <f>IF(OR(J127="",C127&lt;&gt;"League",L127&lt;&gt;"VALID"),"",COUNTIFS($J$6:J127,J127,$G$6:G127,G127,$C$6:C127,"League"))</f>
        <v/>
      </c>
      <c r="N127" s="31" t="str">
        <f t="shared" si="4"/>
        <v/>
      </c>
      <c r="O127" s="37" t="str">
        <f t="shared" si="5"/>
        <v/>
      </c>
    </row>
    <row r="128" spans="1:15" ht="15">
      <c r="A128" s="30">
        <v>26</v>
      </c>
      <c r="B128" s="31" t="s">
        <v>494</v>
      </c>
      <c r="C128" s="31" t="s">
        <v>473</v>
      </c>
      <c r="D128" s="31" t="s">
        <v>471</v>
      </c>
      <c r="E128" s="31" t="s">
        <v>475</v>
      </c>
      <c r="F128" s="31" t="str">
        <f>IF(H128=1,INDEX('Match Results'!$G$6:$G$185,MATCH(A128,'Match Results'!$A$6:$A$185,0)),INDEX('Match Results'!$H$6:$H$185,MATCH(A128,'Match Results'!$A$6:$A$185,0)))</f>
        <v>B3</v>
      </c>
      <c r="G128" s="31" t="str">
        <f>IF(H128=1,INDEX('Match Results'!$H$6:$H$185,MATCH(A128,'Match Results'!$A$6:$A$185,0)),INDEX('Match Results'!$G$6:$G$185,MATCH(A128,'Match Results'!$A$6:$A$185,0)))</f>
        <v>B1</v>
      </c>
      <c r="H128" s="31">
        <v>2</v>
      </c>
      <c r="I128" s="31">
        <v>3</v>
      </c>
      <c r="J128" s="32"/>
      <c r="K128" s="31" t="str">
        <f>IF(J128="","",IFERROR(INDEX('Team Rosters'!$C$6:$C$205,MATCH(J128,'Team Rosters'!$B$6:$B$205,0)),"CODE NOT FOUND"))</f>
        <v/>
      </c>
      <c r="L128" s="31" t="str">
        <f t="shared" si="3"/>
        <v/>
      </c>
      <c r="M128" s="31" t="str">
        <f>IF(OR(J128="",C128&lt;&gt;"League",L128&lt;&gt;"VALID"),"",COUNTIFS($J$6:J128,J128,$G$6:G128,G128,$C$6:C128,"League"))</f>
        <v/>
      </c>
      <c r="N128" s="31" t="str">
        <f t="shared" si="4"/>
        <v/>
      </c>
      <c r="O128" s="37" t="str">
        <f t="shared" si="5"/>
        <v/>
      </c>
    </row>
    <row r="129" spans="1:15" ht="15">
      <c r="A129" s="30">
        <v>26</v>
      </c>
      <c r="B129" s="31" t="s">
        <v>494</v>
      </c>
      <c r="C129" s="31" t="s">
        <v>473</v>
      </c>
      <c r="D129" s="31" t="s">
        <v>471</v>
      </c>
      <c r="E129" s="31" t="s">
        <v>475</v>
      </c>
      <c r="F129" s="31" t="str">
        <f>IF(H129=1,INDEX('Match Results'!$G$6:$G$185,MATCH(A129,'Match Results'!$A$6:$A$185,0)),INDEX('Match Results'!$H$6:$H$185,MATCH(A129,'Match Results'!$A$6:$A$185,0)))</f>
        <v>B3</v>
      </c>
      <c r="G129" s="31" t="str">
        <f>IF(H129=1,INDEX('Match Results'!$H$6:$H$185,MATCH(A129,'Match Results'!$A$6:$A$185,0)),INDEX('Match Results'!$G$6:$G$185,MATCH(A129,'Match Results'!$A$6:$A$185,0)))</f>
        <v>B1</v>
      </c>
      <c r="H129" s="31">
        <v>2</v>
      </c>
      <c r="I129" s="31">
        <v>4</v>
      </c>
      <c r="J129" s="32"/>
      <c r="K129" s="31" t="str">
        <f>IF(J129="","",IFERROR(INDEX('Team Rosters'!$C$6:$C$205,MATCH(J129,'Team Rosters'!$B$6:$B$205,0)),"CODE NOT FOUND"))</f>
        <v/>
      </c>
      <c r="L129" s="31" t="str">
        <f t="shared" si="3"/>
        <v/>
      </c>
      <c r="M129" s="31" t="str">
        <f>IF(OR(J129="",C129&lt;&gt;"League",L129&lt;&gt;"VALID"),"",COUNTIFS($J$6:J129,J129,$G$6:G129,G129,$C$6:C129,"League"))</f>
        <v/>
      </c>
      <c r="N129" s="31" t="str">
        <f t="shared" si="4"/>
        <v/>
      </c>
      <c r="O129" s="37" t="str">
        <f t="shared" si="5"/>
        <v/>
      </c>
    </row>
    <row r="130" spans="1:15" ht="15">
      <c r="A130" s="30">
        <v>27</v>
      </c>
      <c r="B130" s="31" t="s">
        <v>494</v>
      </c>
      <c r="C130" s="31" t="s">
        <v>473</v>
      </c>
      <c r="D130" s="31" t="s">
        <v>471</v>
      </c>
      <c r="E130" s="31" t="s">
        <v>472</v>
      </c>
      <c r="F130" s="31" t="str">
        <f>IF(H130=1,INDEX('Match Results'!$G$6:$G$185,MATCH(A130,'Match Results'!$A$6:$A$185,0)),INDEX('Match Results'!$H$6:$H$185,MATCH(A130,'Match Results'!$A$6:$A$185,0)))</f>
        <v>B2</v>
      </c>
      <c r="G130" s="31" t="str">
        <f>IF(H130=1,INDEX('Match Results'!$H$6:$H$185,MATCH(A130,'Match Results'!$A$6:$A$185,0)),INDEX('Match Results'!$G$6:$G$185,MATCH(A130,'Match Results'!$A$6:$A$185,0)))</f>
        <v>B4</v>
      </c>
      <c r="H130" s="31">
        <v>1</v>
      </c>
      <c r="I130" s="31">
        <v>1</v>
      </c>
      <c r="J130" s="32"/>
      <c r="K130" s="31" t="str">
        <f>IF(J130="","",IFERROR(INDEX('Team Rosters'!$C$6:$C$205,MATCH(J130,'Team Rosters'!$B$6:$B$205,0)),"CODE NOT FOUND"))</f>
        <v/>
      </c>
      <c r="L130" s="31" t="str">
        <f t="shared" si="3"/>
        <v/>
      </c>
      <c r="M130" s="31" t="str">
        <f>IF(OR(J130="",C130&lt;&gt;"League",L130&lt;&gt;"VALID"),"",COUNTIFS($J$6:J130,J130,$G$6:G130,G130,$C$6:C130,"League"))</f>
        <v/>
      </c>
      <c r="N130" s="31" t="str">
        <f t="shared" si="4"/>
        <v/>
      </c>
      <c r="O130" s="37" t="str">
        <f t="shared" si="5"/>
        <v/>
      </c>
    </row>
    <row r="131" spans="1:15" ht="15">
      <c r="A131" s="30">
        <v>27</v>
      </c>
      <c r="B131" s="31" t="s">
        <v>494</v>
      </c>
      <c r="C131" s="31" t="s">
        <v>473</v>
      </c>
      <c r="D131" s="31" t="s">
        <v>471</v>
      </c>
      <c r="E131" s="31" t="s">
        <v>472</v>
      </c>
      <c r="F131" s="31" t="str">
        <f>IF(H131=1,INDEX('Match Results'!$G$6:$G$185,MATCH(A131,'Match Results'!$A$6:$A$185,0)),INDEX('Match Results'!$H$6:$H$185,MATCH(A131,'Match Results'!$A$6:$A$185,0)))</f>
        <v>B2</v>
      </c>
      <c r="G131" s="31" t="str">
        <f>IF(H131=1,INDEX('Match Results'!$H$6:$H$185,MATCH(A131,'Match Results'!$A$6:$A$185,0)),INDEX('Match Results'!$G$6:$G$185,MATCH(A131,'Match Results'!$A$6:$A$185,0)))</f>
        <v>B4</v>
      </c>
      <c r="H131" s="31">
        <v>1</v>
      </c>
      <c r="I131" s="31">
        <v>2</v>
      </c>
      <c r="J131" s="32"/>
      <c r="K131" s="31" t="str">
        <f>IF(J131="","",IFERROR(INDEX('Team Rosters'!$C$6:$C$205,MATCH(J131,'Team Rosters'!$B$6:$B$205,0)),"CODE NOT FOUND"))</f>
        <v/>
      </c>
      <c r="L131" s="31" t="str">
        <f t="shared" si="3"/>
        <v/>
      </c>
      <c r="M131" s="31" t="str">
        <f>IF(OR(J131="",C131&lt;&gt;"League",L131&lt;&gt;"VALID"),"",COUNTIFS($J$6:J131,J131,$G$6:G131,G131,$C$6:C131,"League"))</f>
        <v/>
      </c>
      <c r="N131" s="31" t="str">
        <f t="shared" si="4"/>
        <v/>
      </c>
      <c r="O131" s="37" t="str">
        <f t="shared" si="5"/>
        <v/>
      </c>
    </row>
    <row r="132" spans="1:15" ht="15">
      <c r="A132" s="30">
        <v>27</v>
      </c>
      <c r="B132" s="31" t="s">
        <v>494</v>
      </c>
      <c r="C132" s="31" t="s">
        <v>473</v>
      </c>
      <c r="D132" s="31" t="s">
        <v>471</v>
      </c>
      <c r="E132" s="31" t="s">
        <v>472</v>
      </c>
      <c r="F132" s="31" t="str">
        <f>IF(H132=1,INDEX('Match Results'!$G$6:$G$185,MATCH(A132,'Match Results'!$A$6:$A$185,0)),INDEX('Match Results'!$H$6:$H$185,MATCH(A132,'Match Results'!$A$6:$A$185,0)))</f>
        <v>B4</v>
      </c>
      <c r="G132" s="31" t="str">
        <f>IF(H132=1,INDEX('Match Results'!$H$6:$H$185,MATCH(A132,'Match Results'!$A$6:$A$185,0)),INDEX('Match Results'!$G$6:$G$185,MATCH(A132,'Match Results'!$A$6:$A$185,0)))</f>
        <v>B2</v>
      </c>
      <c r="H132" s="31">
        <v>2</v>
      </c>
      <c r="I132" s="31">
        <v>3</v>
      </c>
      <c r="J132" s="32"/>
      <c r="K132" s="31" t="str">
        <f>IF(J132="","",IFERROR(INDEX('Team Rosters'!$C$6:$C$205,MATCH(J132,'Team Rosters'!$B$6:$B$205,0)),"CODE NOT FOUND"))</f>
        <v/>
      </c>
      <c r="L132" s="31" t="str">
        <f t="shared" si="3"/>
        <v/>
      </c>
      <c r="M132" s="31" t="str">
        <f>IF(OR(J132="",C132&lt;&gt;"League",L132&lt;&gt;"VALID"),"",COUNTIFS($J$6:J132,J132,$G$6:G132,G132,$C$6:C132,"League"))</f>
        <v/>
      </c>
      <c r="N132" s="31" t="str">
        <f t="shared" si="4"/>
        <v/>
      </c>
      <c r="O132" s="37" t="str">
        <f t="shared" si="5"/>
        <v/>
      </c>
    </row>
    <row r="133" spans="1:15" ht="15">
      <c r="A133" s="30">
        <v>27</v>
      </c>
      <c r="B133" s="31" t="s">
        <v>494</v>
      </c>
      <c r="C133" s="31" t="s">
        <v>473</v>
      </c>
      <c r="D133" s="31" t="s">
        <v>471</v>
      </c>
      <c r="E133" s="31" t="s">
        <v>472</v>
      </c>
      <c r="F133" s="31" t="str">
        <f>IF(H133=1,INDEX('Match Results'!$G$6:$G$185,MATCH(A133,'Match Results'!$A$6:$A$185,0)),INDEX('Match Results'!$H$6:$H$185,MATCH(A133,'Match Results'!$A$6:$A$185,0)))</f>
        <v>B4</v>
      </c>
      <c r="G133" s="31" t="str">
        <f>IF(H133=1,INDEX('Match Results'!$H$6:$H$185,MATCH(A133,'Match Results'!$A$6:$A$185,0)),INDEX('Match Results'!$G$6:$G$185,MATCH(A133,'Match Results'!$A$6:$A$185,0)))</f>
        <v>B2</v>
      </c>
      <c r="H133" s="31">
        <v>2</v>
      </c>
      <c r="I133" s="31">
        <v>4</v>
      </c>
      <c r="J133" s="32"/>
      <c r="K133" s="31" t="str">
        <f>IF(J133="","",IFERROR(INDEX('Team Rosters'!$C$6:$C$205,MATCH(J133,'Team Rosters'!$B$6:$B$205,0)),"CODE NOT FOUND"))</f>
        <v/>
      </c>
      <c r="L133" s="31" t="str">
        <f t="shared" si="3"/>
        <v/>
      </c>
      <c r="M133" s="31" t="str">
        <f>IF(OR(J133="",C133&lt;&gt;"League",L133&lt;&gt;"VALID"),"",COUNTIFS($J$6:J133,J133,$G$6:G133,G133,$C$6:C133,"League"))</f>
        <v/>
      </c>
      <c r="N133" s="31" t="str">
        <f t="shared" si="4"/>
        <v/>
      </c>
      <c r="O133" s="37" t="str">
        <f t="shared" si="5"/>
        <v/>
      </c>
    </row>
    <row r="134" spans="1:15" ht="15">
      <c r="A134" s="30">
        <v>28</v>
      </c>
      <c r="B134" s="31" t="s">
        <v>494</v>
      </c>
      <c r="C134" s="31" t="s">
        <v>473</v>
      </c>
      <c r="D134" s="31" t="s">
        <v>479</v>
      </c>
      <c r="E134" s="31" t="s">
        <v>472</v>
      </c>
      <c r="F134" s="31" t="str">
        <f>IF(H134=1,INDEX('Match Results'!$G$6:$G$185,MATCH(A134,'Match Results'!$A$6:$A$185,0)),INDEX('Match Results'!$H$6:$H$185,MATCH(A134,'Match Results'!$A$6:$A$185,0)))</f>
        <v>A3</v>
      </c>
      <c r="G134" s="31" t="str">
        <f>IF(H134=1,INDEX('Match Results'!$H$6:$H$185,MATCH(A134,'Match Results'!$A$6:$A$185,0)),INDEX('Match Results'!$G$6:$G$185,MATCH(A134,'Match Results'!$A$6:$A$185,0)))</f>
        <v>A4</v>
      </c>
      <c r="H134" s="31">
        <v>1</v>
      </c>
      <c r="I134" s="31">
        <v>1</v>
      </c>
      <c r="J134" s="32"/>
      <c r="K134" s="31" t="str">
        <f>IF(J134="","",IFERROR(INDEX('Team Rosters'!$C$6:$C$205,MATCH(J134,'Team Rosters'!$B$6:$B$205,0)),"CODE NOT FOUND"))</f>
        <v/>
      </c>
      <c r="L134" s="31" t="str">
        <f t="shared" ref="L134:L197" si="6">IF(J134="","",IF(AND(K134&lt;&gt;"",K134&lt;&gt;"CODE NOT FOUND",LEFT(J134,2)=F134),"VALID","CHECK ROSTER"))</f>
        <v/>
      </c>
      <c r="M134" s="31" t="str">
        <f>IF(OR(J134="",C134&lt;&gt;"League",L134&lt;&gt;"VALID"),"",COUNTIFS($J$6:J134,J134,$G$6:G134,G134,$C$6:C134,"League"))</f>
        <v/>
      </c>
      <c r="N134" s="31" t="str">
        <f t="shared" ref="N134:N197" si="7">IF(J134="","",IF(L134&lt;&gt;"VALID","CHECK ROSTER",IF(C134&lt;&gt;"League","NOT APPLICABLE",IF(M134&lt;=2,"OK","VIOLATION"))))</f>
        <v/>
      </c>
      <c r="O134" s="37" t="str">
        <f t="shared" ref="O134:O197" si="8">IF(N134="VIOLATION",K134&amp;" has played "&amp;M134&amp;" league matches against "&amp;G134&amp;"; limit is 2.","")</f>
        <v/>
      </c>
    </row>
    <row r="135" spans="1:15" ht="15">
      <c r="A135" s="30">
        <v>28</v>
      </c>
      <c r="B135" s="31" t="s">
        <v>494</v>
      </c>
      <c r="C135" s="31" t="s">
        <v>473</v>
      </c>
      <c r="D135" s="31" t="s">
        <v>479</v>
      </c>
      <c r="E135" s="31" t="s">
        <v>472</v>
      </c>
      <c r="F135" s="31" t="str">
        <f>IF(H135=1,INDEX('Match Results'!$G$6:$G$185,MATCH(A135,'Match Results'!$A$6:$A$185,0)),INDEX('Match Results'!$H$6:$H$185,MATCH(A135,'Match Results'!$A$6:$A$185,0)))</f>
        <v>A3</v>
      </c>
      <c r="G135" s="31" t="str">
        <f>IF(H135=1,INDEX('Match Results'!$H$6:$H$185,MATCH(A135,'Match Results'!$A$6:$A$185,0)),INDEX('Match Results'!$G$6:$G$185,MATCH(A135,'Match Results'!$A$6:$A$185,0)))</f>
        <v>A4</v>
      </c>
      <c r="H135" s="31">
        <v>1</v>
      </c>
      <c r="I135" s="31">
        <v>2</v>
      </c>
      <c r="J135" s="32"/>
      <c r="K135" s="31" t="str">
        <f>IF(J135="","",IFERROR(INDEX('Team Rosters'!$C$6:$C$205,MATCH(J135,'Team Rosters'!$B$6:$B$205,0)),"CODE NOT FOUND"))</f>
        <v/>
      </c>
      <c r="L135" s="31" t="str">
        <f t="shared" si="6"/>
        <v/>
      </c>
      <c r="M135" s="31" t="str">
        <f>IF(OR(J135="",C135&lt;&gt;"League",L135&lt;&gt;"VALID"),"",COUNTIFS($J$6:J135,J135,$G$6:G135,G135,$C$6:C135,"League"))</f>
        <v/>
      </c>
      <c r="N135" s="31" t="str">
        <f t="shared" si="7"/>
        <v/>
      </c>
      <c r="O135" s="37" t="str">
        <f t="shared" si="8"/>
        <v/>
      </c>
    </row>
    <row r="136" spans="1:15" ht="15">
      <c r="A136" s="30">
        <v>28</v>
      </c>
      <c r="B136" s="31" t="s">
        <v>494</v>
      </c>
      <c r="C136" s="31" t="s">
        <v>473</v>
      </c>
      <c r="D136" s="31" t="s">
        <v>479</v>
      </c>
      <c r="E136" s="31" t="s">
        <v>472</v>
      </c>
      <c r="F136" s="31" t="str">
        <f>IF(H136=1,INDEX('Match Results'!$G$6:$G$185,MATCH(A136,'Match Results'!$A$6:$A$185,0)),INDEX('Match Results'!$H$6:$H$185,MATCH(A136,'Match Results'!$A$6:$A$185,0)))</f>
        <v>A4</v>
      </c>
      <c r="G136" s="31" t="str">
        <f>IF(H136=1,INDEX('Match Results'!$H$6:$H$185,MATCH(A136,'Match Results'!$A$6:$A$185,0)),INDEX('Match Results'!$G$6:$G$185,MATCH(A136,'Match Results'!$A$6:$A$185,0)))</f>
        <v>A3</v>
      </c>
      <c r="H136" s="31">
        <v>2</v>
      </c>
      <c r="I136" s="31">
        <v>3</v>
      </c>
      <c r="J136" s="32"/>
      <c r="K136" s="31" t="str">
        <f>IF(J136="","",IFERROR(INDEX('Team Rosters'!$C$6:$C$205,MATCH(J136,'Team Rosters'!$B$6:$B$205,0)),"CODE NOT FOUND"))</f>
        <v/>
      </c>
      <c r="L136" s="31" t="str">
        <f t="shared" si="6"/>
        <v/>
      </c>
      <c r="M136" s="31" t="str">
        <f>IF(OR(J136="",C136&lt;&gt;"League",L136&lt;&gt;"VALID"),"",COUNTIFS($J$6:J136,J136,$G$6:G136,G136,$C$6:C136,"League"))</f>
        <v/>
      </c>
      <c r="N136" s="31" t="str">
        <f t="shared" si="7"/>
        <v/>
      </c>
      <c r="O136" s="37" t="str">
        <f t="shared" si="8"/>
        <v/>
      </c>
    </row>
    <row r="137" spans="1:15" ht="15">
      <c r="A137" s="30">
        <v>28</v>
      </c>
      <c r="B137" s="31" t="s">
        <v>494</v>
      </c>
      <c r="C137" s="31" t="s">
        <v>473</v>
      </c>
      <c r="D137" s="31" t="s">
        <v>479</v>
      </c>
      <c r="E137" s="31" t="s">
        <v>472</v>
      </c>
      <c r="F137" s="31" t="str">
        <f>IF(H137=1,INDEX('Match Results'!$G$6:$G$185,MATCH(A137,'Match Results'!$A$6:$A$185,0)),INDEX('Match Results'!$H$6:$H$185,MATCH(A137,'Match Results'!$A$6:$A$185,0)))</f>
        <v>A4</v>
      </c>
      <c r="G137" s="31" t="str">
        <f>IF(H137=1,INDEX('Match Results'!$H$6:$H$185,MATCH(A137,'Match Results'!$A$6:$A$185,0)),INDEX('Match Results'!$G$6:$G$185,MATCH(A137,'Match Results'!$A$6:$A$185,0)))</f>
        <v>A3</v>
      </c>
      <c r="H137" s="31">
        <v>2</v>
      </c>
      <c r="I137" s="31">
        <v>4</v>
      </c>
      <c r="J137" s="32"/>
      <c r="K137" s="31" t="str">
        <f>IF(J137="","",IFERROR(INDEX('Team Rosters'!$C$6:$C$205,MATCH(J137,'Team Rosters'!$B$6:$B$205,0)),"CODE NOT FOUND"))</f>
        <v/>
      </c>
      <c r="L137" s="31" t="str">
        <f t="shared" si="6"/>
        <v/>
      </c>
      <c r="M137" s="31" t="str">
        <f>IF(OR(J137="",C137&lt;&gt;"League",L137&lt;&gt;"VALID"),"",COUNTIFS($J$6:J137,J137,$G$6:G137,G137,$C$6:C137,"League"))</f>
        <v/>
      </c>
      <c r="N137" s="31" t="str">
        <f t="shared" si="7"/>
        <v/>
      </c>
      <c r="O137" s="37" t="str">
        <f t="shared" si="8"/>
        <v/>
      </c>
    </row>
    <row r="138" spans="1:15" ht="15">
      <c r="A138" s="30">
        <v>29</v>
      </c>
      <c r="B138" s="31" t="s">
        <v>494</v>
      </c>
      <c r="C138" s="31" t="s">
        <v>473</v>
      </c>
      <c r="D138" s="31" t="s">
        <v>479</v>
      </c>
      <c r="E138" s="31" t="s">
        <v>475</v>
      </c>
      <c r="F138" s="31" t="str">
        <f>IF(H138=1,INDEX('Match Results'!$G$6:$G$185,MATCH(A138,'Match Results'!$A$6:$A$185,0)),INDEX('Match Results'!$H$6:$H$185,MATCH(A138,'Match Results'!$A$6:$A$185,0)))</f>
        <v>B1</v>
      </c>
      <c r="G138" s="31" t="str">
        <f>IF(H138=1,INDEX('Match Results'!$H$6:$H$185,MATCH(A138,'Match Results'!$A$6:$A$185,0)),INDEX('Match Results'!$G$6:$G$185,MATCH(A138,'Match Results'!$A$6:$A$185,0)))</f>
        <v>B4</v>
      </c>
      <c r="H138" s="31">
        <v>1</v>
      </c>
      <c r="I138" s="31">
        <v>1</v>
      </c>
      <c r="J138" s="32"/>
      <c r="K138" s="31" t="str">
        <f>IF(J138="","",IFERROR(INDEX('Team Rosters'!$C$6:$C$205,MATCH(J138,'Team Rosters'!$B$6:$B$205,0)),"CODE NOT FOUND"))</f>
        <v/>
      </c>
      <c r="L138" s="31" t="str">
        <f t="shared" si="6"/>
        <v/>
      </c>
      <c r="M138" s="31" t="str">
        <f>IF(OR(J138="",C138&lt;&gt;"League",L138&lt;&gt;"VALID"),"",COUNTIFS($J$6:J138,J138,$G$6:G138,G138,$C$6:C138,"League"))</f>
        <v/>
      </c>
      <c r="N138" s="31" t="str">
        <f t="shared" si="7"/>
        <v/>
      </c>
      <c r="O138" s="37" t="str">
        <f t="shared" si="8"/>
        <v/>
      </c>
    </row>
    <row r="139" spans="1:15" ht="15">
      <c r="A139" s="30">
        <v>29</v>
      </c>
      <c r="B139" s="31" t="s">
        <v>494</v>
      </c>
      <c r="C139" s="31" t="s">
        <v>473</v>
      </c>
      <c r="D139" s="31" t="s">
        <v>479</v>
      </c>
      <c r="E139" s="31" t="s">
        <v>475</v>
      </c>
      <c r="F139" s="31" t="str">
        <f>IF(H139=1,INDEX('Match Results'!$G$6:$G$185,MATCH(A139,'Match Results'!$A$6:$A$185,0)),INDEX('Match Results'!$H$6:$H$185,MATCH(A139,'Match Results'!$A$6:$A$185,0)))</f>
        <v>B1</v>
      </c>
      <c r="G139" s="31" t="str">
        <f>IF(H139=1,INDEX('Match Results'!$H$6:$H$185,MATCH(A139,'Match Results'!$A$6:$A$185,0)),INDEX('Match Results'!$G$6:$G$185,MATCH(A139,'Match Results'!$A$6:$A$185,0)))</f>
        <v>B4</v>
      </c>
      <c r="H139" s="31">
        <v>1</v>
      </c>
      <c r="I139" s="31">
        <v>2</v>
      </c>
      <c r="J139" s="32"/>
      <c r="K139" s="31" t="str">
        <f>IF(J139="","",IFERROR(INDEX('Team Rosters'!$C$6:$C$205,MATCH(J139,'Team Rosters'!$B$6:$B$205,0)),"CODE NOT FOUND"))</f>
        <v/>
      </c>
      <c r="L139" s="31" t="str">
        <f t="shared" si="6"/>
        <v/>
      </c>
      <c r="M139" s="31" t="str">
        <f>IF(OR(J139="",C139&lt;&gt;"League",L139&lt;&gt;"VALID"),"",COUNTIFS($J$6:J139,J139,$G$6:G139,G139,$C$6:C139,"League"))</f>
        <v/>
      </c>
      <c r="N139" s="31" t="str">
        <f t="shared" si="7"/>
        <v/>
      </c>
      <c r="O139" s="37" t="str">
        <f t="shared" si="8"/>
        <v/>
      </c>
    </row>
    <row r="140" spans="1:15" ht="15">
      <c r="A140" s="30">
        <v>29</v>
      </c>
      <c r="B140" s="31" t="s">
        <v>494</v>
      </c>
      <c r="C140" s="31" t="s">
        <v>473</v>
      </c>
      <c r="D140" s="31" t="s">
        <v>479</v>
      </c>
      <c r="E140" s="31" t="s">
        <v>475</v>
      </c>
      <c r="F140" s="31" t="str">
        <f>IF(H140=1,INDEX('Match Results'!$G$6:$G$185,MATCH(A140,'Match Results'!$A$6:$A$185,0)),INDEX('Match Results'!$H$6:$H$185,MATCH(A140,'Match Results'!$A$6:$A$185,0)))</f>
        <v>B4</v>
      </c>
      <c r="G140" s="31" t="str">
        <f>IF(H140=1,INDEX('Match Results'!$H$6:$H$185,MATCH(A140,'Match Results'!$A$6:$A$185,0)),INDEX('Match Results'!$G$6:$G$185,MATCH(A140,'Match Results'!$A$6:$A$185,0)))</f>
        <v>B1</v>
      </c>
      <c r="H140" s="31">
        <v>2</v>
      </c>
      <c r="I140" s="31">
        <v>3</v>
      </c>
      <c r="J140" s="32"/>
      <c r="K140" s="31" t="str">
        <f>IF(J140="","",IFERROR(INDEX('Team Rosters'!$C$6:$C$205,MATCH(J140,'Team Rosters'!$B$6:$B$205,0)),"CODE NOT FOUND"))</f>
        <v/>
      </c>
      <c r="L140" s="31" t="str">
        <f t="shared" si="6"/>
        <v/>
      </c>
      <c r="M140" s="31" t="str">
        <f>IF(OR(J140="",C140&lt;&gt;"League",L140&lt;&gt;"VALID"),"",COUNTIFS($J$6:J140,J140,$G$6:G140,G140,$C$6:C140,"League"))</f>
        <v/>
      </c>
      <c r="N140" s="31" t="str">
        <f t="shared" si="7"/>
        <v/>
      </c>
      <c r="O140" s="37" t="str">
        <f t="shared" si="8"/>
        <v/>
      </c>
    </row>
    <row r="141" spans="1:15" ht="15">
      <c r="A141" s="30">
        <v>29</v>
      </c>
      <c r="B141" s="31" t="s">
        <v>494</v>
      </c>
      <c r="C141" s="31" t="s">
        <v>473</v>
      </c>
      <c r="D141" s="31" t="s">
        <v>479</v>
      </c>
      <c r="E141" s="31" t="s">
        <v>475</v>
      </c>
      <c r="F141" s="31" t="str">
        <f>IF(H141=1,INDEX('Match Results'!$G$6:$G$185,MATCH(A141,'Match Results'!$A$6:$A$185,0)),INDEX('Match Results'!$H$6:$H$185,MATCH(A141,'Match Results'!$A$6:$A$185,0)))</f>
        <v>B4</v>
      </c>
      <c r="G141" s="31" t="str">
        <f>IF(H141=1,INDEX('Match Results'!$H$6:$H$185,MATCH(A141,'Match Results'!$A$6:$A$185,0)),INDEX('Match Results'!$G$6:$G$185,MATCH(A141,'Match Results'!$A$6:$A$185,0)))</f>
        <v>B1</v>
      </c>
      <c r="H141" s="31">
        <v>2</v>
      </c>
      <c r="I141" s="31">
        <v>4</v>
      </c>
      <c r="J141" s="32"/>
      <c r="K141" s="31" t="str">
        <f>IF(J141="","",IFERROR(INDEX('Team Rosters'!$C$6:$C$205,MATCH(J141,'Team Rosters'!$B$6:$B$205,0)),"CODE NOT FOUND"))</f>
        <v/>
      </c>
      <c r="L141" s="31" t="str">
        <f t="shared" si="6"/>
        <v/>
      </c>
      <c r="M141" s="31" t="str">
        <f>IF(OR(J141="",C141&lt;&gt;"League",L141&lt;&gt;"VALID"),"",COUNTIFS($J$6:J141,J141,$G$6:G141,G141,$C$6:C141,"League"))</f>
        <v/>
      </c>
      <c r="N141" s="31" t="str">
        <f t="shared" si="7"/>
        <v/>
      </c>
      <c r="O141" s="37" t="str">
        <f t="shared" si="8"/>
        <v/>
      </c>
    </row>
    <row r="142" spans="1:15" ht="15">
      <c r="A142" s="30">
        <v>30</v>
      </c>
      <c r="B142" s="31" t="s">
        <v>494</v>
      </c>
      <c r="C142" s="31" t="s">
        <v>473</v>
      </c>
      <c r="D142" s="31" t="s">
        <v>479</v>
      </c>
      <c r="E142" s="31" t="s">
        <v>477</v>
      </c>
      <c r="F142" s="31" t="str">
        <f>IF(H142=1,INDEX('Match Results'!$G$6:$G$185,MATCH(A142,'Match Results'!$A$6:$A$185,0)),INDEX('Match Results'!$H$6:$H$185,MATCH(A142,'Match Results'!$A$6:$A$185,0)))</f>
        <v>B2</v>
      </c>
      <c r="G142" s="31" t="str">
        <f>IF(H142=1,INDEX('Match Results'!$H$6:$H$185,MATCH(A142,'Match Results'!$A$6:$A$185,0)),INDEX('Match Results'!$G$6:$G$185,MATCH(A142,'Match Results'!$A$6:$A$185,0)))</f>
        <v>B3</v>
      </c>
      <c r="H142" s="31">
        <v>1</v>
      </c>
      <c r="I142" s="31">
        <v>1</v>
      </c>
      <c r="J142" s="32"/>
      <c r="K142" s="31" t="str">
        <f>IF(J142="","",IFERROR(INDEX('Team Rosters'!$C$6:$C$205,MATCH(J142,'Team Rosters'!$B$6:$B$205,0)),"CODE NOT FOUND"))</f>
        <v/>
      </c>
      <c r="L142" s="31" t="str">
        <f t="shared" si="6"/>
        <v/>
      </c>
      <c r="M142" s="31" t="str">
        <f>IF(OR(J142="",C142&lt;&gt;"League",L142&lt;&gt;"VALID"),"",COUNTIFS($J$6:J142,J142,$G$6:G142,G142,$C$6:C142,"League"))</f>
        <v/>
      </c>
      <c r="N142" s="31" t="str">
        <f t="shared" si="7"/>
        <v/>
      </c>
      <c r="O142" s="37" t="str">
        <f t="shared" si="8"/>
        <v/>
      </c>
    </row>
    <row r="143" spans="1:15" ht="15">
      <c r="A143" s="30">
        <v>30</v>
      </c>
      <c r="B143" s="31" t="s">
        <v>494</v>
      </c>
      <c r="C143" s="31" t="s">
        <v>473</v>
      </c>
      <c r="D143" s="31" t="s">
        <v>479</v>
      </c>
      <c r="E143" s="31" t="s">
        <v>477</v>
      </c>
      <c r="F143" s="31" t="str">
        <f>IF(H143=1,INDEX('Match Results'!$G$6:$G$185,MATCH(A143,'Match Results'!$A$6:$A$185,0)),INDEX('Match Results'!$H$6:$H$185,MATCH(A143,'Match Results'!$A$6:$A$185,0)))</f>
        <v>B2</v>
      </c>
      <c r="G143" s="31" t="str">
        <f>IF(H143=1,INDEX('Match Results'!$H$6:$H$185,MATCH(A143,'Match Results'!$A$6:$A$185,0)),INDEX('Match Results'!$G$6:$G$185,MATCH(A143,'Match Results'!$A$6:$A$185,0)))</f>
        <v>B3</v>
      </c>
      <c r="H143" s="31">
        <v>1</v>
      </c>
      <c r="I143" s="31">
        <v>2</v>
      </c>
      <c r="J143" s="32"/>
      <c r="K143" s="31" t="str">
        <f>IF(J143="","",IFERROR(INDEX('Team Rosters'!$C$6:$C$205,MATCH(J143,'Team Rosters'!$B$6:$B$205,0)),"CODE NOT FOUND"))</f>
        <v/>
      </c>
      <c r="L143" s="31" t="str">
        <f t="shared" si="6"/>
        <v/>
      </c>
      <c r="M143" s="31" t="str">
        <f>IF(OR(J143="",C143&lt;&gt;"League",L143&lt;&gt;"VALID"),"",COUNTIFS($J$6:J143,J143,$G$6:G143,G143,$C$6:C143,"League"))</f>
        <v/>
      </c>
      <c r="N143" s="31" t="str">
        <f t="shared" si="7"/>
        <v/>
      </c>
      <c r="O143" s="37" t="str">
        <f t="shared" si="8"/>
        <v/>
      </c>
    </row>
    <row r="144" spans="1:15" ht="15">
      <c r="A144" s="30">
        <v>30</v>
      </c>
      <c r="B144" s="31" t="s">
        <v>494</v>
      </c>
      <c r="C144" s="31" t="s">
        <v>473</v>
      </c>
      <c r="D144" s="31" t="s">
        <v>479</v>
      </c>
      <c r="E144" s="31" t="s">
        <v>477</v>
      </c>
      <c r="F144" s="31" t="str">
        <f>IF(H144=1,INDEX('Match Results'!$G$6:$G$185,MATCH(A144,'Match Results'!$A$6:$A$185,0)),INDEX('Match Results'!$H$6:$H$185,MATCH(A144,'Match Results'!$A$6:$A$185,0)))</f>
        <v>B3</v>
      </c>
      <c r="G144" s="31" t="str">
        <f>IF(H144=1,INDEX('Match Results'!$H$6:$H$185,MATCH(A144,'Match Results'!$A$6:$A$185,0)),INDEX('Match Results'!$G$6:$G$185,MATCH(A144,'Match Results'!$A$6:$A$185,0)))</f>
        <v>B2</v>
      </c>
      <c r="H144" s="31">
        <v>2</v>
      </c>
      <c r="I144" s="31">
        <v>3</v>
      </c>
      <c r="J144" s="32"/>
      <c r="K144" s="31" t="str">
        <f>IF(J144="","",IFERROR(INDEX('Team Rosters'!$C$6:$C$205,MATCH(J144,'Team Rosters'!$B$6:$B$205,0)),"CODE NOT FOUND"))</f>
        <v/>
      </c>
      <c r="L144" s="31" t="str">
        <f t="shared" si="6"/>
        <v/>
      </c>
      <c r="M144" s="31" t="str">
        <f>IF(OR(J144="",C144&lt;&gt;"League",L144&lt;&gt;"VALID"),"",COUNTIFS($J$6:J144,J144,$G$6:G144,G144,$C$6:C144,"League"))</f>
        <v/>
      </c>
      <c r="N144" s="31" t="str">
        <f t="shared" si="7"/>
        <v/>
      </c>
      <c r="O144" s="37" t="str">
        <f t="shared" si="8"/>
        <v/>
      </c>
    </row>
    <row r="145" spans="1:15" ht="15">
      <c r="A145" s="30">
        <v>30</v>
      </c>
      <c r="B145" s="31" t="s">
        <v>494</v>
      </c>
      <c r="C145" s="31" t="s">
        <v>473</v>
      </c>
      <c r="D145" s="31" t="s">
        <v>479</v>
      </c>
      <c r="E145" s="31" t="s">
        <v>477</v>
      </c>
      <c r="F145" s="31" t="str">
        <f>IF(H145=1,INDEX('Match Results'!$G$6:$G$185,MATCH(A145,'Match Results'!$A$6:$A$185,0)),INDEX('Match Results'!$H$6:$H$185,MATCH(A145,'Match Results'!$A$6:$A$185,0)))</f>
        <v>B3</v>
      </c>
      <c r="G145" s="31" t="str">
        <f>IF(H145=1,INDEX('Match Results'!$H$6:$H$185,MATCH(A145,'Match Results'!$A$6:$A$185,0)),INDEX('Match Results'!$G$6:$G$185,MATCH(A145,'Match Results'!$A$6:$A$185,0)))</f>
        <v>B2</v>
      </c>
      <c r="H145" s="31">
        <v>2</v>
      </c>
      <c r="I145" s="31">
        <v>4</v>
      </c>
      <c r="J145" s="32"/>
      <c r="K145" s="31" t="str">
        <f>IF(J145="","",IFERROR(INDEX('Team Rosters'!$C$6:$C$205,MATCH(J145,'Team Rosters'!$B$6:$B$205,0)),"CODE NOT FOUND"))</f>
        <v/>
      </c>
      <c r="L145" s="31" t="str">
        <f t="shared" si="6"/>
        <v/>
      </c>
      <c r="M145" s="31" t="str">
        <f>IF(OR(J145="",C145&lt;&gt;"League",L145&lt;&gt;"VALID"),"",COUNTIFS($J$6:J145,J145,$G$6:G145,G145,$C$6:C145,"League"))</f>
        <v/>
      </c>
      <c r="N145" s="31" t="str">
        <f t="shared" si="7"/>
        <v/>
      </c>
      <c r="O145" s="37" t="str">
        <f t="shared" si="8"/>
        <v/>
      </c>
    </row>
    <row r="146" spans="1:15" ht="15">
      <c r="A146" s="30">
        <v>31</v>
      </c>
      <c r="B146" s="31" t="s">
        <v>494</v>
      </c>
      <c r="C146" s="31" t="s">
        <v>473</v>
      </c>
      <c r="D146" s="31" t="s">
        <v>483</v>
      </c>
      <c r="E146" s="31" t="s">
        <v>472</v>
      </c>
      <c r="F146" s="31" t="str">
        <f>IF(H146=1,INDEX('Match Results'!$G$6:$G$185,MATCH(A146,'Match Results'!$A$6:$A$185,0)),INDEX('Match Results'!$H$6:$H$185,MATCH(A146,'Match Results'!$A$6:$A$185,0)))</f>
        <v>A1</v>
      </c>
      <c r="G146" s="31" t="str">
        <f>IF(H146=1,INDEX('Match Results'!$H$6:$H$185,MATCH(A146,'Match Results'!$A$6:$A$185,0)),INDEX('Match Results'!$G$6:$G$185,MATCH(A146,'Match Results'!$A$6:$A$185,0)))</f>
        <v>A4</v>
      </c>
      <c r="H146" s="31">
        <v>1</v>
      </c>
      <c r="I146" s="31">
        <v>1</v>
      </c>
      <c r="J146" s="32"/>
      <c r="K146" s="31" t="str">
        <f>IF(J146="","",IFERROR(INDEX('Team Rosters'!$C$6:$C$205,MATCH(J146,'Team Rosters'!$B$6:$B$205,0)),"CODE NOT FOUND"))</f>
        <v/>
      </c>
      <c r="L146" s="31" t="str">
        <f t="shared" si="6"/>
        <v/>
      </c>
      <c r="M146" s="31" t="str">
        <f>IF(OR(J146="",C146&lt;&gt;"League",L146&lt;&gt;"VALID"),"",COUNTIFS($J$6:J146,J146,$G$6:G146,G146,$C$6:C146,"League"))</f>
        <v/>
      </c>
      <c r="N146" s="31" t="str">
        <f t="shared" si="7"/>
        <v/>
      </c>
      <c r="O146" s="37" t="str">
        <f t="shared" si="8"/>
        <v/>
      </c>
    </row>
    <row r="147" spans="1:15" ht="15">
      <c r="A147" s="30">
        <v>31</v>
      </c>
      <c r="B147" s="31" t="s">
        <v>494</v>
      </c>
      <c r="C147" s="31" t="s">
        <v>473</v>
      </c>
      <c r="D147" s="31" t="s">
        <v>483</v>
      </c>
      <c r="E147" s="31" t="s">
        <v>472</v>
      </c>
      <c r="F147" s="31" t="str">
        <f>IF(H147=1,INDEX('Match Results'!$G$6:$G$185,MATCH(A147,'Match Results'!$A$6:$A$185,0)),INDEX('Match Results'!$H$6:$H$185,MATCH(A147,'Match Results'!$A$6:$A$185,0)))</f>
        <v>A1</v>
      </c>
      <c r="G147" s="31" t="str">
        <f>IF(H147=1,INDEX('Match Results'!$H$6:$H$185,MATCH(A147,'Match Results'!$A$6:$A$185,0)),INDEX('Match Results'!$G$6:$G$185,MATCH(A147,'Match Results'!$A$6:$A$185,0)))</f>
        <v>A4</v>
      </c>
      <c r="H147" s="31">
        <v>1</v>
      </c>
      <c r="I147" s="31">
        <v>2</v>
      </c>
      <c r="J147" s="32"/>
      <c r="K147" s="31" t="str">
        <f>IF(J147="","",IFERROR(INDEX('Team Rosters'!$C$6:$C$205,MATCH(J147,'Team Rosters'!$B$6:$B$205,0)),"CODE NOT FOUND"))</f>
        <v/>
      </c>
      <c r="L147" s="31" t="str">
        <f t="shared" si="6"/>
        <v/>
      </c>
      <c r="M147" s="31" t="str">
        <f>IF(OR(J147="",C147&lt;&gt;"League",L147&lt;&gt;"VALID"),"",COUNTIFS($J$6:J147,J147,$G$6:G147,G147,$C$6:C147,"League"))</f>
        <v/>
      </c>
      <c r="N147" s="31" t="str">
        <f t="shared" si="7"/>
        <v/>
      </c>
      <c r="O147" s="37" t="str">
        <f t="shared" si="8"/>
        <v/>
      </c>
    </row>
    <row r="148" spans="1:15" ht="15">
      <c r="A148" s="30">
        <v>31</v>
      </c>
      <c r="B148" s="31" t="s">
        <v>494</v>
      </c>
      <c r="C148" s="31" t="s">
        <v>473</v>
      </c>
      <c r="D148" s="31" t="s">
        <v>483</v>
      </c>
      <c r="E148" s="31" t="s">
        <v>472</v>
      </c>
      <c r="F148" s="31" t="str">
        <f>IF(H148=1,INDEX('Match Results'!$G$6:$G$185,MATCH(A148,'Match Results'!$A$6:$A$185,0)),INDEX('Match Results'!$H$6:$H$185,MATCH(A148,'Match Results'!$A$6:$A$185,0)))</f>
        <v>A4</v>
      </c>
      <c r="G148" s="31" t="str">
        <f>IF(H148=1,INDEX('Match Results'!$H$6:$H$185,MATCH(A148,'Match Results'!$A$6:$A$185,0)),INDEX('Match Results'!$G$6:$G$185,MATCH(A148,'Match Results'!$A$6:$A$185,0)))</f>
        <v>A1</v>
      </c>
      <c r="H148" s="31">
        <v>2</v>
      </c>
      <c r="I148" s="31">
        <v>3</v>
      </c>
      <c r="J148" s="32"/>
      <c r="K148" s="31" t="str">
        <f>IF(J148="","",IFERROR(INDEX('Team Rosters'!$C$6:$C$205,MATCH(J148,'Team Rosters'!$B$6:$B$205,0)),"CODE NOT FOUND"))</f>
        <v/>
      </c>
      <c r="L148" s="31" t="str">
        <f t="shared" si="6"/>
        <v/>
      </c>
      <c r="M148" s="31" t="str">
        <f>IF(OR(J148="",C148&lt;&gt;"League",L148&lt;&gt;"VALID"),"",COUNTIFS($J$6:J148,J148,$G$6:G148,G148,$C$6:C148,"League"))</f>
        <v/>
      </c>
      <c r="N148" s="31" t="str">
        <f t="shared" si="7"/>
        <v/>
      </c>
      <c r="O148" s="37" t="str">
        <f t="shared" si="8"/>
        <v/>
      </c>
    </row>
    <row r="149" spans="1:15" ht="15">
      <c r="A149" s="30">
        <v>31</v>
      </c>
      <c r="B149" s="31" t="s">
        <v>494</v>
      </c>
      <c r="C149" s="31" t="s">
        <v>473</v>
      </c>
      <c r="D149" s="31" t="s">
        <v>483</v>
      </c>
      <c r="E149" s="31" t="s">
        <v>472</v>
      </c>
      <c r="F149" s="31" t="str">
        <f>IF(H149=1,INDEX('Match Results'!$G$6:$G$185,MATCH(A149,'Match Results'!$A$6:$A$185,0)),INDEX('Match Results'!$H$6:$H$185,MATCH(A149,'Match Results'!$A$6:$A$185,0)))</f>
        <v>A4</v>
      </c>
      <c r="G149" s="31" t="str">
        <f>IF(H149=1,INDEX('Match Results'!$H$6:$H$185,MATCH(A149,'Match Results'!$A$6:$A$185,0)),INDEX('Match Results'!$G$6:$G$185,MATCH(A149,'Match Results'!$A$6:$A$185,0)))</f>
        <v>A1</v>
      </c>
      <c r="H149" s="31">
        <v>2</v>
      </c>
      <c r="I149" s="31">
        <v>4</v>
      </c>
      <c r="J149" s="32"/>
      <c r="K149" s="31" t="str">
        <f>IF(J149="","",IFERROR(INDEX('Team Rosters'!$C$6:$C$205,MATCH(J149,'Team Rosters'!$B$6:$B$205,0)),"CODE NOT FOUND"))</f>
        <v/>
      </c>
      <c r="L149" s="31" t="str">
        <f t="shared" si="6"/>
        <v/>
      </c>
      <c r="M149" s="31" t="str">
        <f>IF(OR(J149="",C149&lt;&gt;"League",L149&lt;&gt;"VALID"),"",COUNTIFS($J$6:J149,J149,$G$6:G149,G149,$C$6:C149,"League"))</f>
        <v/>
      </c>
      <c r="N149" s="31" t="str">
        <f t="shared" si="7"/>
        <v/>
      </c>
      <c r="O149" s="37" t="str">
        <f t="shared" si="8"/>
        <v/>
      </c>
    </row>
    <row r="150" spans="1:15" ht="15">
      <c r="A150" s="30">
        <v>32</v>
      </c>
      <c r="B150" s="31" t="s">
        <v>494</v>
      </c>
      <c r="C150" s="31" t="s">
        <v>473</v>
      </c>
      <c r="D150" s="31" t="s">
        <v>483</v>
      </c>
      <c r="E150" s="31" t="s">
        <v>477</v>
      </c>
      <c r="F150" s="31" t="str">
        <f>IF(H150=1,INDEX('Match Results'!$G$6:$G$185,MATCH(A150,'Match Results'!$A$6:$A$185,0)),INDEX('Match Results'!$H$6:$H$185,MATCH(A150,'Match Results'!$A$6:$A$185,0)))</f>
        <v>A2</v>
      </c>
      <c r="G150" s="31" t="str">
        <f>IF(H150=1,INDEX('Match Results'!$H$6:$H$185,MATCH(A150,'Match Results'!$A$6:$A$185,0)),INDEX('Match Results'!$G$6:$G$185,MATCH(A150,'Match Results'!$A$6:$A$185,0)))</f>
        <v>A3</v>
      </c>
      <c r="H150" s="31">
        <v>1</v>
      </c>
      <c r="I150" s="31">
        <v>1</v>
      </c>
      <c r="J150" s="32"/>
      <c r="K150" s="31" t="str">
        <f>IF(J150="","",IFERROR(INDEX('Team Rosters'!$C$6:$C$205,MATCH(J150,'Team Rosters'!$B$6:$B$205,0)),"CODE NOT FOUND"))</f>
        <v/>
      </c>
      <c r="L150" s="31" t="str">
        <f t="shared" si="6"/>
        <v/>
      </c>
      <c r="M150" s="31" t="str">
        <f>IF(OR(J150="",C150&lt;&gt;"League",L150&lt;&gt;"VALID"),"",COUNTIFS($J$6:J150,J150,$G$6:G150,G150,$C$6:C150,"League"))</f>
        <v/>
      </c>
      <c r="N150" s="31" t="str">
        <f t="shared" si="7"/>
        <v/>
      </c>
      <c r="O150" s="37" t="str">
        <f t="shared" si="8"/>
        <v/>
      </c>
    </row>
    <row r="151" spans="1:15" ht="15">
      <c r="A151" s="30">
        <v>32</v>
      </c>
      <c r="B151" s="31" t="s">
        <v>494</v>
      </c>
      <c r="C151" s="31" t="s">
        <v>473</v>
      </c>
      <c r="D151" s="31" t="s">
        <v>483</v>
      </c>
      <c r="E151" s="31" t="s">
        <v>477</v>
      </c>
      <c r="F151" s="31" t="str">
        <f>IF(H151=1,INDEX('Match Results'!$G$6:$G$185,MATCH(A151,'Match Results'!$A$6:$A$185,0)),INDEX('Match Results'!$H$6:$H$185,MATCH(A151,'Match Results'!$A$6:$A$185,0)))</f>
        <v>A2</v>
      </c>
      <c r="G151" s="31" t="str">
        <f>IF(H151=1,INDEX('Match Results'!$H$6:$H$185,MATCH(A151,'Match Results'!$A$6:$A$185,0)),INDEX('Match Results'!$G$6:$G$185,MATCH(A151,'Match Results'!$A$6:$A$185,0)))</f>
        <v>A3</v>
      </c>
      <c r="H151" s="31">
        <v>1</v>
      </c>
      <c r="I151" s="31">
        <v>2</v>
      </c>
      <c r="J151" s="32"/>
      <c r="K151" s="31" t="str">
        <f>IF(J151="","",IFERROR(INDEX('Team Rosters'!$C$6:$C$205,MATCH(J151,'Team Rosters'!$B$6:$B$205,0)),"CODE NOT FOUND"))</f>
        <v/>
      </c>
      <c r="L151" s="31" t="str">
        <f t="shared" si="6"/>
        <v/>
      </c>
      <c r="M151" s="31" t="str">
        <f>IF(OR(J151="",C151&lt;&gt;"League",L151&lt;&gt;"VALID"),"",COUNTIFS($J$6:J151,J151,$G$6:G151,G151,$C$6:C151,"League"))</f>
        <v/>
      </c>
      <c r="N151" s="31" t="str">
        <f t="shared" si="7"/>
        <v/>
      </c>
      <c r="O151" s="37" t="str">
        <f t="shared" si="8"/>
        <v/>
      </c>
    </row>
    <row r="152" spans="1:15" ht="15">
      <c r="A152" s="30">
        <v>32</v>
      </c>
      <c r="B152" s="31" t="s">
        <v>494</v>
      </c>
      <c r="C152" s="31" t="s">
        <v>473</v>
      </c>
      <c r="D152" s="31" t="s">
        <v>483</v>
      </c>
      <c r="E152" s="31" t="s">
        <v>477</v>
      </c>
      <c r="F152" s="31" t="str">
        <f>IF(H152=1,INDEX('Match Results'!$G$6:$G$185,MATCH(A152,'Match Results'!$A$6:$A$185,0)),INDEX('Match Results'!$H$6:$H$185,MATCH(A152,'Match Results'!$A$6:$A$185,0)))</f>
        <v>A3</v>
      </c>
      <c r="G152" s="31" t="str">
        <f>IF(H152=1,INDEX('Match Results'!$H$6:$H$185,MATCH(A152,'Match Results'!$A$6:$A$185,0)),INDEX('Match Results'!$G$6:$G$185,MATCH(A152,'Match Results'!$A$6:$A$185,0)))</f>
        <v>A2</v>
      </c>
      <c r="H152" s="31">
        <v>2</v>
      </c>
      <c r="I152" s="31">
        <v>3</v>
      </c>
      <c r="J152" s="32"/>
      <c r="K152" s="31" t="str">
        <f>IF(J152="","",IFERROR(INDEX('Team Rosters'!$C$6:$C$205,MATCH(J152,'Team Rosters'!$B$6:$B$205,0)),"CODE NOT FOUND"))</f>
        <v/>
      </c>
      <c r="L152" s="31" t="str">
        <f t="shared" si="6"/>
        <v/>
      </c>
      <c r="M152" s="31" t="str">
        <f>IF(OR(J152="",C152&lt;&gt;"League",L152&lt;&gt;"VALID"),"",COUNTIFS($J$6:J152,J152,$G$6:G152,G152,$C$6:C152,"League"))</f>
        <v/>
      </c>
      <c r="N152" s="31" t="str">
        <f t="shared" si="7"/>
        <v/>
      </c>
      <c r="O152" s="37" t="str">
        <f t="shared" si="8"/>
        <v/>
      </c>
    </row>
    <row r="153" spans="1:15" ht="15">
      <c r="A153" s="30">
        <v>32</v>
      </c>
      <c r="B153" s="31" t="s">
        <v>494</v>
      </c>
      <c r="C153" s="31" t="s">
        <v>473</v>
      </c>
      <c r="D153" s="31" t="s">
        <v>483</v>
      </c>
      <c r="E153" s="31" t="s">
        <v>477</v>
      </c>
      <c r="F153" s="31" t="str">
        <f>IF(H153=1,INDEX('Match Results'!$G$6:$G$185,MATCH(A153,'Match Results'!$A$6:$A$185,0)),INDEX('Match Results'!$H$6:$H$185,MATCH(A153,'Match Results'!$A$6:$A$185,0)))</f>
        <v>A3</v>
      </c>
      <c r="G153" s="31" t="str">
        <f>IF(H153=1,INDEX('Match Results'!$H$6:$H$185,MATCH(A153,'Match Results'!$A$6:$A$185,0)),INDEX('Match Results'!$G$6:$G$185,MATCH(A153,'Match Results'!$A$6:$A$185,0)))</f>
        <v>A2</v>
      </c>
      <c r="H153" s="31">
        <v>2</v>
      </c>
      <c r="I153" s="31">
        <v>4</v>
      </c>
      <c r="J153" s="32"/>
      <c r="K153" s="31" t="str">
        <f>IF(J153="","",IFERROR(INDEX('Team Rosters'!$C$6:$C$205,MATCH(J153,'Team Rosters'!$B$6:$B$205,0)),"CODE NOT FOUND"))</f>
        <v/>
      </c>
      <c r="L153" s="31" t="str">
        <f t="shared" si="6"/>
        <v/>
      </c>
      <c r="M153" s="31" t="str">
        <f>IF(OR(J153="",C153&lt;&gt;"League",L153&lt;&gt;"VALID"),"",COUNTIFS($J$6:J153,J153,$G$6:G153,G153,$C$6:C153,"League"))</f>
        <v/>
      </c>
      <c r="N153" s="31" t="str">
        <f t="shared" si="7"/>
        <v/>
      </c>
      <c r="O153" s="37" t="str">
        <f t="shared" si="8"/>
        <v/>
      </c>
    </row>
    <row r="154" spans="1:15" ht="15">
      <c r="A154" s="30">
        <v>33</v>
      </c>
      <c r="B154" s="31" t="s">
        <v>494</v>
      </c>
      <c r="C154" s="31" t="s">
        <v>473</v>
      </c>
      <c r="D154" s="31" t="s">
        <v>486</v>
      </c>
      <c r="E154" s="31" t="s">
        <v>477</v>
      </c>
      <c r="F154" s="31" t="str">
        <f>IF(H154=1,INDEX('Match Results'!$G$6:$G$185,MATCH(A154,'Match Results'!$A$6:$A$185,0)),INDEX('Match Results'!$H$6:$H$185,MATCH(A154,'Match Results'!$A$6:$A$185,0)))</f>
        <v>A2</v>
      </c>
      <c r="G154" s="31" t="str">
        <f>IF(H154=1,INDEX('Match Results'!$H$6:$H$185,MATCH(A154,'Match Results'!$A$6:$A$185,0)),INDEX('Match Results'!$G$6:$G$185,MATCH(A154,'Match Results'!$A$6:$A$185,0)))</f>
        <v>A4</v>
      </c>
      <c r="H154" s="31">
        <v>1</v>
      </c>
      <c r="I154" s="31">
        <v>1</v>
      </c>
      <c r="J154" s="32"/>
      <c r="K154" s="31" t="str">
        <f>IF(J154="","",IFERROR(INDEX('Team Rosters'!$C$6:$C$205,MATCH(J154,'Team Rosters'!$B$6:$B$205,0)),"CODE NOT FOUND"))</f>
        <v/>
      </c>
      <c r="L154" s="31" t="str">
        <f>IF(J154="","",IF(AND(K154&lt;&gt;"",K154&lt;&gt;"CODE NOT FOUND",LEFT(J154,2)=F154),"VALID","CHECK ROSTER"))</f>
        <v/>
      </c>
      <c r="M154" s="31" t="str">
        <f>IF(OR(J154="",C154&lt;&gt;"League",L154&lt;&gt;"VALID"),"",COUNTIFS($J$6:J154,J154,$G$6:G154,G154,$C$6:C154,"League"))</f>
        <v/>
      </c>
      <c r="N154" s="31" t="str">
        <f>IF(J154="","",IF(L154&lt;&gt;"VALID","CHECK ROSTER",IF(C154&lt;&gt;"League","NOT APPLICABLE",IF(M154&lt;=2,"OK","VIOLATION"))))</f>
        <v/>
      </c>
      <c r="O154" s="37" t="str">
        <f>IF(N154="VIOLATION",K154&amp;" has played "&amp;M154&amp;" league matches against "&amp;G154&amp;"; limit is 2.","")</f>
        <v/>
      </c>
    </row>
    <row r="155" spans="1:15" ht="15">
      <c r="A155" s="30">
        <v>33</v>
      </c>
      <c r="B155" s="31" t="s">
        <v>494</v>
      </c>
      <c r="C155" s="31" t="s">
        <v>473</v>
      </c>
      <c r="D155" s="31" t="s">
        <v>486</v>
      </c>
      <c r="E155" s="31" t="s">
        <v>477</v>
      </c>
      <c r="F155" s="31" t="str">
        <f>IF(H155=1,INDEX('Match Results'!$G$6:$G$185,MATCH(A155,'Match Results'!$A$6:$A$185,0)),INDEX('Match Results'!$H$6:$H$185,MATCH(A155,'Match Results'!$A$6:$A$185,0)))</f>
        <v>A2</v>
      </c>
      <c r="G155" s="31" t="str">
        <f>IF(H155=1,INDEX('Match Results'!$H$6:$H$185,MATCH(A155,'Match Results'!$A$6:$A$185,0)),INDEX('Match Results'!$G$6:$G$185,MATCH(A155,'Match Results'!$A$6:$A$185,0)))</f>
        <v>A4</v>
      </c>
      <c r="H155" s="31">
        <v>1</v>
      </c>
      <c r="I155" s="31">
        <v>2</v>
      </c>
      <c r="J155" s="32"/>
      <c r="K155" s="31" t="str">
        <f>IF(J155="","",IFERROR(INDEX('Team Rosters'!$C$6:$C$205,MATCH(J155,'Team Rosters'!$B$6:$B$205,0)),"CODE NOT FOUND"))</f>
        <v/>
      </c>
      <c r="L155" s="31" t="str">
        <f t="shared" si="6"/>
        <v/>
      </c>
      <c r="M155" s="31" t="str">
        <f>IF(OR(J155="",C155&lt;&gt;"League",L155&lt;&gt;"VALID"),"",COUNTIFS($J$6:J155,J155,$G$6:G155,G155,$C$6:C155,"League"))</f>
        <v/>
      </c>
      <c r="N155" s="31" t="str">
        <f t="shared" si="7"/>
        <v/>
      </c>
      <c r="O155" s="37" t="str">
        <f t="shared" si="8"/>
        <v/>
      </c>
    </row>
    <row r="156" spans="1:15" ht="15">
      <c r="A156" s="30">
        <v>33</v>
      </c>
      <c r="B156" s="31" t="s">
        <v>494</v>
      </c>
      <c r="C156" s="31" t="s">
        <v>473</v>
      </c>
      <c r="D156" s="31" t="s">
        <v>486</v>
      </c>
      <c r="E156" s="31" t="s">
        <v>477</v>
      </c>
      <c r="F156" s="31" t="str">
        <f>IF(H156=1,INDEX('Match Results'!$G$6:$G$185,MATCH(A156,'Match Results'!$A$6:$A$185,0)),INDEX('Match Results'!$H$6:$H$185,MATCH(A156,'Match Results'!$A$6:$A$185,0)))</f>
        <v>A4</v>
      </c>
      <c r="G156" s="31" t="str">
        <f>IF(H156=1,INDEX('Match Results'!$H$6:$H$185,MATCH(A156,'Match Results'!$A$6:$A$185,0)),INDEX('Match Results'!$G$6:$G$185,MATCH(A156,'Match Results'!$A$6:$A$185,0)))</f>
        <v>A2</v>
      </c>
      <c r="H156" s="31">
        <v>2</v>
      </c>
      <c r="I156" s="31">
        <v>3</v>
      </c>
      <c r="J156" s="32"/>
      <c r="K156" s="31" t="str">
        <f>IF(J156="","",IFERROR(INDEX('Team Rosters'!$C$6:$C$205,MATCH(J156,'Team Rosters'!$B$6:$B$205,0)),"CODE NOT FOUND"))</f>
        <v/>
      </c>
      <c r="L156" s="31" t="str">
        <f t="shared" si="6"/>
        <v/>
      </c>
      <c r="M156" s="31" t="str">
        <f>IF(OR(J156="",C156&lt;&gt;"League",L156&lt;&gt;"VALID"),"",COUNTIFS($J$6:J156,J156,$G$6:G156,G156,$C$6:C156,"League"))</f>
        <v/>
      </c>
      <c r="N156" s="31" t="str">
        <f t="shared" si="7"/>
        <v/>
      </c>
      <c r="O156" s="37" t="str">
        <f t="shared" si="8"/>
        <v/>
      </c>
    </row>
    <row r="157" spans="1:15" ht="15">
      <c r="A157" s="30">
        <v>33</v>
      </c>
      <c r="B157" s="31" t="s">
        <v>494</v>
      </c>
      <c r="C157" s="31" t="s">
        <v>473</v>
      </c>
      <c r="D157" s="31" t="s">
        <v>486</v>
      </c>
      <c r="E157" s="31" t="s">
        <v>477</v>
      </c>
      <c r="F157" s="31" t="str">
        <f>IF(H157=1,INDEX('Match Results'!$G$6:$G$185,MATCH(A157,'Match Results'!$A$6:$A$185,0)),INDEX('Match Results'!$H$6:$H$185,MATCH(A157,'Match Results'!$A$6:$A$185,0)))</f>
        <v>A4</v>
      </c>
      <c r="G157" s="31" t="str">
        <f>IF(H157=1,INDEX('Match Results'!$H$6:$H$185,MATCH(A157,'Match Results'!$A$6:$A$185,0)),INDEX('Match Results'!$G$6:$G$185,MATCH(A157,'Match Results'!$A$6:$A$185,0)))</f>
        <v>A2</v>
      </c>
      <c r="H157" s="31">
        <v>2</v>
      </c>
      <c r="I157" s="31">
        <v>4</v>
      </c>
      <c r="J157" s="32"/>
      <c r="K157" s="31" t="str">
        <f>IF(J157="","",IFERROR(INDEX('Team Rosters'!$C$6:$C$205,MATCH(J157,'Team Rosters'!$B$6:$B$205,0)),"CODE NOT FOUND"))</f>
        <v/>
      </c>
      <c r="L157" s="31" t="str">
        <f t="shared" si="6"/>
        <v/>
      </c>
      <c r="M157" s="31" t="str">
        <f>IF(OR(J157="",C157&lt;&gt;"League",L157&lt;&gt;"VALID"),"",COUNTIFS($J$6:J157,J157,$G$6:G157,G157,$C$6:C157,"League"))</f>
        <v/>
      </c>
      <c r="N157" s="31" t="str">
        <f t="shared" si="7"/>
        <v/>
      </c>
      <c r="O157" s="37" t="str">
        <f t="shared" si="8"/>
        <v/>
      </c>
    </row>
    <row r="158" spans="1:15" ht="15">
      <c r="A158" s="30">
        <v>34</v>
      </c>
      <c r="B158" s="31" t="s">
        <v>494</v>
      </c>
      <c r="C158" s="31" t="s">
        <v>473</v>
      </c>
      <c r="D158" s="31" t="s">
        <v>486</v>
      </c>
      <c r="E158" s="31" t="s">
        <v>472</v>
      </c>
      <c r="F158" s="31" t="str">
        <f>IF(H158=1,INDEX('Match Results'!$G$6:$G$185,MATCH(A158,'Match Results'!$A$6:$A$185,0)),INDEX('Match Results'!$H$6:$H$185,MATCH(A158,'Match Results'!$A$6:$A$185,0)))</f>
        <v>B1</v>
      </c>
      <c r="G158" s="31" t="str">
        <f>IF(H158=1,INDEX('Match Results'!$H$6:$H$185,MATCH(A158,'Match Results'!$A$6:$A$185,0)),INDEX('Match Results'!$G$6:$G$185,MATCH(A158,'Match Results'!$A$6:$A$185,0)))</f>
        <v>B2</v>
      </c>
      <c r="H158" s="31">
        <v>1</v>
      </c>
      <c r="I158" s="31">
        <v>1</v>
      </c>
      <c r="J158" s="32"/>
      <c r="K158" s="31" t="str">
        <f>IF(J158="","",IFERROR(INDEX('Team Rosters'!$C$6:$C$205,MATCH(J158,'Team Rosters'!$B$6:$B$205,0)),"CODE NOT FOUND"))</f>
        <v/>
      </c>
      <c r="L158" s="31" t="str">
        <f t="shared" si="6"/>
        <v/>
      </c>
      <c r="M158" s="31" t="str">
        <f>IF(OR(J158="",C158&lt;&gt;"League",L158&lt;&gt;"VALID"),"",COUNTIFS($J$6:J158,J158,$G$6:G158,G158,$C$6:C158,"League"))</f>
        <v/>
      </c>
      <c r="N158" s="31" t="str">
        <f t="shared" si="7"/>
        <v/>
      </c>
      <c r="O158" s="37" t="str">
        <f t="shared" si="8"/>
        <v/>
      </c>
    </row>
    <row r="159" spans="1:15" ht="15">
      <c r="A159" s="30">
        <v>34</v>
      </c>
      <c r="B159" s="31" t="s">
        <v>494</v>
      </c>
      <c r="C159" s="31" t="s">
        <v>473</v>
      </c>
      <c r="D159" s="31" t="s">
        <v>486</v>
      </c>
      <c r="E159" s="31" t="s">
        <v>472</v>
      </c>
      <c r="F159" s="31" t="str">
        <f>IF(H159=1,INDEX('Match Results'!$G$6:$G$185,MATCH(A159,'Match Results'!$A$6:$A$185,0)),INDEX('Match Results'!$H$6:$H$185,MATCH(A159,'Match Results'!$A$6:$A$185,0)))</f>
        <v>B1</v>
      </c>
      <c r="G159" s="31" t="str">
        <f>IF(H159=1,INDEX('Match Results'!$H$6:$H$185,MATCH(A159,'Match Results'!$A$6:$A$185,0)),INDEX('Match Results'!$G$6:$G$185,MATCH(A159,'Match Results'!$A$6:$A$185,0)))</f>
        <v>B2</v>
      </c>
      <c r="H159" s="31">
        <v>1</v>
      </c>
      <c r="I159" s="31">
        <v>2</v>
      </c>
      <c r="J159" s="32"/>
      <c r="K159" s="31" t="str">
        <f>IF(J159="","",IFERROR(INDEX('Team Rosters'!$C$6:$C$205,MATCH(J159,'Team Rosters'!$B$6:$B$205,0)),"CODE NOT FOUND"))</f>
        <v/>
      </c>
      <c r="L159" s="31" t="str">
        <f t="shared" si="6"/>
        <v/>
      </c>
      <c r="M159" s="31" t="str">
        <f>IF(OR(J159="",C159&lt;&gt;"League",L159&lt;&gt;"VALID"),"",COUNTIFS($J$6:J159,J159,$G$6:G159,G159,$C$6:C159,"League"))</f>
        <v/>
      </c>
      <c r="N159" s="31" t="str">
        <f t="shared" si="7"/>
        <v/>
      </c>
      <c r="O159" s="37" t="str">
        <f t="shared" si="8"/>
        <v/>
      </c>
    </row>
    <row r="160" spans="1:15" ht="15">
      <c r="A160" s="30">
        <v>34</v>
      </c>
      <c r="B160" s="31" t="s">
        <v>494</v>
      </c>
      <c r="C160" s="31" t="s">
        <v>473</v>
      </c>
      <c r="D160" s="31" t="s">
        <v>486</v>
      </c>
      <c r="E160" s="31" t="s">
        <v>472</v>
      </c>
      <c r="F160" s="31" t="str">
        <f>IF(H160=1,INDEX('Match Results'!$G$6:$G$185,MATCH(A160,'Match Results'!$A$6:$A$185,0)),INDEX('Match Results'!$H$6:$H$185,MATCH(A160,'Match Results'!$A$6:$A$185,0)))</f>
        <v>B2</v>
      </c>
      <c r="G160" s="31" t="str">
        <f>IF(H160=1,INDEX('Match Results'!$H$6:$H$185,MATCH(A160,'Match Results'!$A$6:$A$185,0)),INDEX('Match Results'!$G$6:$G$185,MATCH(A160,'Match Results'!$A$6:$A$185,0)))</f>
        <v>B1</v>
      </c>
      <c r="H160" s="31">
        <v>2</v>
      </c>
      <c r="I160" s="31">
        <v>3</v>
      </c>
      <c r="J160" s="32"/>
      <c r="K160" s="31" t="str">
        <f>IF(J160="","",IFERROR(INDEX('Team Rosters'!$C$6:$C$205,MATCH(J160,'Team Rosters'!$B$6:$B$205,0)),"CODE NOT FOUND"))</f>
        <v/>
      </c>
      <c r="L160" s="31" t="str">
        <f t="shared" si="6"/>
        <v/>
      </c>
      <c r="M160" s="31" t="str">
        <f>IF(OR(J160="",C160&lt;&gt;"League",L160&lt;&gt;"VALID"),"",COUNTIFS($J$6:J160,J160,$G$6:G160,G160,$C$6:C160,"League"))</f>
        <v/>
      </c>
      <c r="N160" s="31" t="str">
        <f t="shared" si="7"/>
        <v/>
      </c>
      <c r="O160" s="37" t="str">
        <f t="shared" si="8"/>
        <v/>
      </c>
    </row>
    <row r="161" spans="1:15" ht="15">
      <c r="A161" s="30">
        <v>34</v>
      </c>
      <c r="B161" s="31" t="s">
        <v>494</v>
      </c>
      <c r="C161" s="31" t="s">
        <v>473</v>
      </c>
      <c r="D161" s="31" t="s">
        <v>486</v>
      </c>
      <c r="E161" s="31" t="s">
        <v>472</v>
      </c>
      <c r="F161" s="31" t="str">
        <f>IF(H161=1,INDEX('Match Results'!$G$6:$G$185,MATCH(A161,'Match Results'!$A$6:$A$185,0)),INDEX('Match Results'!$H$6:$H$185,MATCH(A161,'Match Results'!$A$6:$A$185,0)))</f>
        <v>B2</v>
      </c>
      <c r="G161" s="31" t="str">
        <f>IF(H161=1,INDEX('Match Results'!$H$6:$H$185,MATCH(A161,'Match Results'!$A$6:$A$185,0)),INDEX('Match Results'!$G$6:$G$185,MATCH(A161,'Match Results'!$A$6:$A$185,0)))</f>
        <v>B1</v>
      </c>
      <c r="H161" s="31">
        <v>2</v>
      </c>
      <c r="I161" s="31">
        <v>4</v>
      </c>
      <c r="J161" s="32"/>
      <c r="K161" s="31" t="str">
        <f>IF(J161="","",IFERROR(INDEX('Team Rosters'!$C$6:$C$205,MATCH(J161,'Team Rosters'!$B$6:$B$205,0)),"CODE NOT FOUND"))</f>
        <v/>
      </c>
      <c r="L161" s="31" t="str">
        <f t="shared" si="6"/>
        <v/>
      </c>
      <c r="M161" s="31" t="str">
        <f>IF(OR(J161="",C161&lt;&gt;"League",L161&lt;&gt;"VALID"),"",COUNTIFS($J$6:J161,J161,$G$6:G161,G161,$C$6:C161,"League"))</f>
        <v/>
      </c>
      <c r="N161" s="31" t="str">
        <f t="shared" si="7"/>
        <v/>
      </c>
      <c r="O161" s="37" t="str">
        <f t="shared" si="8"/>
        <v/>
      </c>
    </row>
    <row r="162" spans="1:15" ht="15">
      <c r="A162" s="30">
        <v>35</v>
      </c>
      <c r="B162" s="31" t="s">
        <v>494</v>
      </c>
      <c r="C162" s="31" t="s">
        <v>473</v>
      </c>
      <c r="D162" s="31" t="s">
        <v>486</v>
      </c>
      <c r="E162" s="31" t="s">
        <v>475</v>
      </c>
      <c r="F162" s="31" t="str">
        <f>IF(H162=1,INDEX('Match Results'!$G$6:$G$185,MATCH(A162,'Match Results'!$A$6:$A$185,0)),INDEX('Match Results'!$H$6:$H$185,MATCH(A162,'Match Results'!$A$6:$A$185,0)))</f>
        <v>B3</v>
      </c>
      <c r="G162" s="31" t="str">
        <f>IF(H162=1,INDEX('Match Results'!$H$6:$H$185,MATCH(A162,'Match Results'!$A$6:$A$185,0)),INDEX('Match Results'!$G$6:$G$185,MATCH(A162,'Match Results'!$A$6:$A$185,0)))</f>
        <v>B4</v>
      </c>
      <c r="H162" s="31">
        <v>1</v>
      </c>
      <c r="I162" s="31">
        <v>1</v>
      </c>
      <c r="J162" s="32"/>
      <c r="K162" s="31" t="str">
        <f>IF(J162="","",IFERROR(INDEX('Team Rosters'!$C$6:$C$205,MATCH(J162,'Team Rosters'!$B$6:$B$205,0)),"CODE NOT FOUND"))</f>
        <v/>
      </c>
      <c r="L162" s="31" t="str">
        <f t="shared" si="6"/>
        <v/>
      </c>
      <c r="M162" s="31" t="str">
        <f>IF(OR(J162="",C162&lt;&gt;"League",L162&lt;&gt;"VALID"),"",COUNTIFS($J$6:J162,J162,$G$6:G162,G162,$C$6:C162,"League"))</f>
        <v/>
      </c>
      <c r="N162" s="31" t="str">
        <f t="shared" si="7"/>
        <v/>
      </c>
      <c r="O162" s="37" t="str">
        <f t="shared" si="8"/>
        <v/>
      </c>
    </row>
    <row r="163" spans="1:15" ht="15">
      <c r="A163" s="30">
        <v>35</v>
      </c>
      <c r="B163" s="31" t="s">
        <v>494</v>
      </c>
      <c r="C163" s="31" t="s">
        <v>473</v>
      </c>
      <c r="D163" s="31" t="s">
        <v>486</v>
      </c>
      <c r="E163" s="31" t="s">
        <v>475</v>
      </c>
      <c r="F163" s="31" t="str">
        <f>IF(H163=1,INDEX('Match Results'!$G$6:$G$185,MATCH(A163,'Match Results'!$A$6:$A$185,0)),INDEX('Match Results'!$H$6:$H$185,MATCH(A163,'Match Results'!$A$6:$A$185,0)))</f>
        <v>B3</v>
      </c>
      <c r="G163" s="31" t="str">
        <f>IF(H163=1,INDEX('Match Results'!$H$6:$H$185,MATCH(A163,'Match Results'!$A$6:$A$185,0)),INDEX('Match Results'!$G$6:$G$185,MATCH(A163,'Match Results'!$A$6:$A$185,0)))</f>
        <v>B4</v>
      </c>
      <c r="H163" s="31">
        <v>1</v>
      </c>
      <c r="I163" s="31">
        <v>2</v>
      </c>
      <c r="J163" s="32"/>
      <c r="K163" s="31" t="str">
        <f>IF(J163="","",IFERROR(INDEX('Team Rosters'!$C$6:$C$205,MATCH(J163,'Team Rosters'!$B$6:$B$205,0)),"CODE NOT FOUND"))</f>
        <v/>
      </c>
      <c r="L163" s="31" t="str">
        <f t="shared" si="6"/>
        <v/>
      </c>
      <c r="M163" s="31" t="str">
        <f>IF(OR(J163="",C163&lt;&gt;"League",L163&lt;&gt;"VALID"),"",COUNTIFS($J$6:J163,J163,$G$6:G163,G163,$C$6:C163,"League"))</f>
        <v/>
      </c>
      <c r="N163" s="31" t="str">
        <f t="shared" si="7"/>
        <v/>
      </c>
      <c r="O163" s="37" t="str">
        <f t="shared" si="8"/>
        <v/>
      </c>
    </row>
    <row r="164" spans="1:15" ht="15">
      <c r="A164" s="30">
        <v>35</v>
      </c>
      <c r="B164" s="31" t="s">
        <v>494</v>
      </c>
      <c r="C164" s="31" t="s">
        <v>473</v>
      </c>
      <c r="D164" s="31" t="s">
        <v>486</v>
      </c>
      <c r="E164" s="31" t="s">
        <v>475</v>
      </c>
      <c r="F164" s="31" t="str">
        <f>IF(H164=1,INDEX('Match Results'!$G$6:$G$185,MATCH(A164,'Match Results'!$A$6:$A$185,0)),INDEX('Match Results'!$H$6:$H$185,MATCH(A164,'Match Results'!$A$6:$A$185,0)))</f>
        <v>B4</v>
      </c>
      <c r="G164" s="31" t="str">
        <f>IF(H164=1,INDEX('Match Results'!$H$6:$H$185,MATCH(A164,'Match Results'!$A$6:$A$185,0)),INDEX('Match Results'!$G$6:$G$185,MATCH(A164,'Match Results'!$A$6:$A$185,0)))</f>
        <v>B3</v>
      </c>
      <c r="H164" s="31">
        <v>2</v>
      </c>
      <c r="I164" s="31">
        <v>3</v>
      </c>
      <c r="J164" s="32"/>
      <c r="K164" s="31" t="str">
        <f>IF(J164="","",IFERROR(INDEX('Team Rosters'!$C$6:$C$205,MATCH(J164,'Team Rosters'!$B$6:$B$205,0)),"CODE NOT FOUND"))</f>
        <v/>
      </c>
      <c r="L164" s="31" t="str">
        <f t="shared" si="6"/>
        <v/>
      </c>
      <c r="M164" s="31" t="str">
        <f>IF(OR(J164="",C164&lt;&gt;"League",L164&lt;&gt;"VALID"),"",COUNTIFS($J$6:J164,J164,$G$6:G164,G164,$C$6:C164,"League"))</f>
        <v/>
      </c>
      <c r="N164" s="31" t="str">
        <f t="shared" si="7"/>
        <v/>
      </c>
      <c r="O164" s="37" t="str">
        <f t="shared" si="8"/>
        <v/>
      </c>
    </row>
    <row r="165" spans="1:15" ht="15">
      <c r="A165" s="30">
        <v>35</v>
      </c>
      <c r="B165" s="31" t="s">
        <v>494</v>
      </c>
      <c r="C165" s="31" t="s">
        <v>473</v>
      </c>
      <c r="D165" s="31" t="s">
        <v>486</v>
      </c>
      <c r="E165" s="31" t="s">
        <v>475</v>
      </c>
      <c r="F165" s="31" t="str">
        <f>IF(H165=1,INDEX('Match Results'!$G$6:$G$185,MATCH(A165,'Match Results'!$A$6:$A$185,0)),INDEX('Match Results'!$H$6:$H$185,MATCH(A165,'Match Results'!$A$6:$A$185,0)))</f>
        <v>B4</v>
      </c>
      <c r="G165" s="31" t="str">
        <f>IF(H165=1,INDEX('Match Results'!$H$6:$H$185,MATCH(A165,'Match Results'!$A$6:$A$185,0)),INDEX('Match Results'!$G$6:$G$185,MATCH(A165,'Match Results'!$A$6:$A$185,0)))</f>
        <v>B3</v>
      </c>
      <c r="H165" s="31">
        <v>2</v>
      </c>
      <c r="I165" s="31">
        <v>4</v>
      </c>
      <c r="J165" s="32"/>
      <c r="K165" s="31" t="str">
        <f>IF(J165="","",IFERROR(INDEX('Team Rosters'!$C$6:$C$205,MATCH(J165,'Team Rosters'!$B$6:$B$205,0)),"CODE NOT FOUND"))</f>
        <v/>
      </c>
      <c r="L165" s="31" t="str">
        <f t="shared" si="6"/>
        <v/>
      </c>
      <c r="M165" s="31" t="str">
        <f>IF(OR(J165="",C165&lt;&gt;"League",L165&lt;&gt;"VALID"),"",COUNTIFS($J$6:J165,J165,$G$6:G165,G165,$C$6:C165,"League"))</f>
        <v/>
      </c>
      <c r="N165" s="31" t="str">
        <f t="shared" si="7"/>
        <v/>
      </c>
      <c r="O165" s="37" t="str">
        <f t="shared" si="8"/>
        <v/>
      </c>
    </row>
    <row r="166" spans="1:15" ht="15">
      <c r="A166" s="30">
        <v>36</v>
      </c>
      <c r="B166" s="31" t="s">
        <v>494</v>
      </c>
      <c r="C166" s="31" t="s">
        <v>473</v>
      </c>
      <c r="D166" s="31" t="s">
        <v>490</v>
      </c>
      <c r="E166" s="31" t="s">
        <v>491</v>
      </c>
      <c r="F166" s="31" t="str">
        <f>IF(H166=1,INDEX('Match Results'!$G$6:$G$185,MATCH(A166,'Match Results'!$A$6:$A$185,0)),INDEX('Match Results'!$H$6:$H$185,MATCH(A166,'Match Results'!$A$6:$A$185,0)))</f>
        <v>A1</v>
      </c>
      <c r="G166" s="31" t="str">
        <f>IF(H166=1,INDEX('Match Results'!$H$6:$H$185,MATCH(A166,'Match Results'!$A$6:$A$185,0)),INDEX('Match Results'!$G$6:$G$185,MATCH(A166,'Match Results'!$A$6:$A$185,0)))</f>
        <v>A3</v>
      </c>
      <c r="H166" s="31">
        <v>1</v>
      </c>
      <c r="I166" s="31">
        <v>1</v>
      </c>
      <c r="J166" s="32"/>
      <c r="K166" s="31" t="str">
        <f>IF(J166="","",IFERROR(INDEX('Team Rosters'!$C$6:$C$205,MATCH(J166,'Team Rosters'!$B$6:$B$205,0)),"CODE NOT FOUND"))</f>
        <v/>
      </c>
      <c r="L166" s="31" t="str">
        <f t="shared" si="6"/>
        <v/>
      </c>
      <c r="M166" s="31" t="str">
        <f>IF(OR(J166="",C166&lt;&gt;"League",L166&lt;&gt;"VALID"),"",COUNTIFS($J$6:J166,J166,$G$6:G166,G166,$C$6:C166,"League"))</f>
        <v/>
      </c>
      <c r="N166" s="31" t="str">
        <f t="shared" si="7"/>
        <v/>
      </c>
      <c r="O166" s="37" t="str">
        <f t="shared" si="8"/>
        <v/>
      </c>
    </row>
    <row r="167" spans="1:15" ht="15">
      <c r="A167" s="30">
        <v>36</v>
      </c>
      <c r="B167" s="31" t="s">
        <v>494</v>
      </c>
      <c r="C167" s="31" t="s">
        <v>473</v>
      </c>
      <c r="D167" s="31" t="s">
        <v>490</v>
      </c>
      <c r="E167" s="31" t="s">
        <v>491</v>
      </c>
      <c r="F167" s="31" t="str">
        <f>IF(H167=1,INDEX('Match Results'!$G$6:$G$185,MATCH(A167,'Match Results'!$A$6:$A$185,0)),INDEX('Match Results'!$H$6:$H$185,MATCH(A167,'Match Results'!$A$6:$A$185,0)))</f>
        <v>A1</v>
      </c>
      <c r="G167" s="31" t="str">
        <f>IF(H167=1,INDEX('Match Results'!$H$6:$H$185,MATCH(A167,'Match Results'!$A$6:$A$185,0)),INDEX('Match Results'!$G$6:$G$185,MATCH(A167,'Match Results'!$A$6:$A$185,0)))</f>
        <v>A3</v>
      </c>
      <c r="H167" s="31">
        <v>1</v>
      </c>
      <c r="I167" s="31">
        <v>2</v>
      </c>
      <c r="J167" s="32"/>
      <c r="K167" s="31" t="str">
        <f>IF(J167="","",IFERROR(INDEX('Team Rosters'!$C$6:$C$205,MATCH(J167,'Team Rosters'!$B$6:$B$205,0)),"CODE NOT FOUND"))</f>
        <v/>
      </c>
      <c r="L167" s="31" t="str">
        <f t="shared" si="6"/>
        <v/>
      </c>
      <c r="M167" s="31" t="str">
        <f>IF(OR(J167="",C167&lt;&gt;"League",L167&lt;&gt;"VALID"),"",COUNTIFS($J$6:J167,J167,$G$6:G167,G167,$C$6:C167,"League"))</f>
        <v/>
      </c>
      <c r="N167" s="31" t="str">
        <f t="shared" si="7"/>
        <v/>
      </c>
      <c r="O167" s="37" t="str">
        <f t="shared" si="8"/>
        <v/>
      </c>
    </row>
    <row r="168" spans="1:15" ht="15">
      <c r="A168" s="30">
        <v>36</v>
      </c>
      <c r="B168" s="31" t="s">
        <v>494</v>
      </c>
      <c r="C168" s="31" t="s">
        <v>473</v>
      </c>
      <c r="D168" s="31" t="s">
        <v>490</v>
      </c>
      <c r="E168" s="31" t="s">
        <v>491</v>
      </c>
      <c r="F168" s="31" t="str">
        <f>IF(H168=1,INDEX('Match Results'!$G$6:$G$185,MATCH(A168,'Match Results'!$A$6:$A$185,0)),INDEX('Match Results'!$H$6:$H$185,MATCH(A168,'Match Results'!$A$6:$A$185,0)))</f>
        <v>A1</v>
      </c>
      <c r="G168" s="31" t="str">
        <f>IF(H168=1,INDEX('Match Results'!$H$6:$H$185,MATCH(A168,'Match Results'!$A$6:$A$185,0)),INDEX('Match Results'!$G$6:$G$185,MATCH(A168,'Match Results'!$A$6:$A$185,0)))</f>
        <v>A3</v>
      </c>
      <c r="H168" s="31">
        <v>1</v>
      </c>
      <c r="I168" s="31">
        <v>3</v>
      </c>
      <c r="J168" s="32"/>
      <c r="K168" s="31" t="str">
        <f>IF(J168="","",IFERROR(INDEX('Team Rosters'!$C$6:$C$205,MATCH(J168,'Team Rosters'!$B$6:$B$205,0)),"CODE NOT FOUND"))</f>
        <v/>
      </c>
      <c r="L168" s="31" t="str">
        <f t="shared" si="6"/>
        <v/>
      </c>
      <c r="M168" s="31" t="str">
        <f>IF(OR(J168="",C168&lt;&gt;"League",L168&lt;&gt;"VALID"),"",COUNTIFS($J$6:J168,J168,$G$6:G168,G168,$C$6:C168,"League"))</f>
        <v/>
      </c>
      <c r="N168" s="31" t="str">
        <f t="shared" si="7"/>
        <v/>
      </c>
      <c r="O168" s="37" t="str">
        <f t="shared" si="8"/>
        <v/>
      </c>
    </row>
    <row r="169" spans="1:15" ht="15">
      <c r="A169" s="30">
        <v>36</v>
      </c>
      <c r="B169" s="31" t="s">
        <v>494</v>
      </c>
      <c r="C169" s="31" t="s">
        <v>473</v>
      </c>
      <c r="D169" s="31" t="s">
        <v>490</v>
      </c>
      <c r="E169" s="31" t="s">
        <v>491</v>
      </c>
      <c r="F169" s="31" t="str">
        <f>IF(H169=1,INDEX('Match Results'!$G$6:$G$185,MATCH(A169,'Match Results'!$A$6:$A$185,0)),INDEX('Match Results'!$H$6:$H$185,MATCH(A169,'Match Results'!$A$6:$A$185,0)))</f>
        <v>A1</v>
      </c>
      <c r="G169" s="31" t="str">
        <f>IF(H169=1,INDEX('Match Results'!$H$6:$H$185,MATCH(A169,'Match Results'!$A$6:$A$185,0)),INDEX('Match Results'!$G$6:$G$185,MATCH(A169,'Match Results'!$A$6:$A$185,0)))</f>
        <v>A3</v>
      </c>
      <c r="H169" s="31">
        <v>1</v>
      </c>
      <c r="I169" s="31">
        <v>4</v>
      </c>
      <c r="J169" s="32"/>
      <c r="K169" s="31" t="str">
        <f>IF(J169="","",IFERROR(INDEX('Team Rosters'!$C$6:$C$205,MATCH(J169,'Team Rosters'!$B$6:$B$205,0)),"CODE NOT FOUND"))</f>
        <v/>
      </c>
      <c r="L169" s="31" t="str">
        <f t="shared" si="6"/>
        <v/>
      </c>
      <c r="M169" s="31" t="str">
        <f>IF(OR(J169="",C169&lt;&gt;"League",L169&lt;&gt;"VALID"),"",COUNTIFS($J$6:J169,J169,$G$6:G169,G169,$C$6:C169,"League"))</f>
        <v/>
      </c>
      <c r="N169" s="31" t="str">
        <f t="shared" si="7"/>
        <v/>
      </c>
      <c r="O169" s="37" t="str">
        <f t="shared" si="8"/>
        <v/>
      </c>
    </row>
    <row r="170" spans="1:15" ht="15">
      <c r="A170" s="30">
        <v>36</v>
      </c>
      <c r="B170" s="31" t="s">
        <v>494</v>
      </c>
      <c r="C170" s="31" t="s">
        <v>473</v>
      </c>
      <c r="D170" s="31" t="s">
        <v>490</v>
      </c>
      <c r="E170" s="31" t="s">
        <v>491</v>
      </c>
      <c r="F170" s="31" t="str">
        <f>IF(H170=1,INDEX('Match Results'!$G$6:$G$185,MATCH(A170,'Match Results'!$A$6:$A$185,0)),INDEX('Match Results'!$H$6:$H$185,MATCH(A170,'Match Results'!$A$6:$A$185,0)))</f>
        <v>A1</v>
      </c>
      <c r="G170" s="31" t="str">
        <f>IF(H170=1,INDEX('Match Results'!$H$6:$H$185,MATCH(A170,'Match Results'!$A$6:$A$185,0)),INDEX('Match Results'!$G$6:$G$185,MATCH(A170,'Match Results'!$A$6:$A$185,0)))</f>
        <v>A3</v>
      </c>
      <c r="H170" s="31">
        <v>1</v>
      </c>
      <c r="I170" s="31">
        <v>5</v>
      </c>
      <c r="J170" s="32"/>
      <c r="K170" s="31" t="str">
        <f>IF(J170="","",IFERROR(INDEX('Team Rosters'!$C$6:$C$205,MATCH(J170,'Team Rosters'!$B$6:$B$205,0)),"CODE NOT FOUND"))</f>
        <v/>
      </c>
      <c r="L170" s="31" t="str">
        <f t="shared" si="6"/>
        <v/>
      </c>
      <c r="M170" s="31" t="str">
        <f>IF(OR(J170="",C170&lt;&gt;"League",L170&lt;&gt;"VALID"),"",COUNTIFS($J$6:J170,J170,$G$6:G170,G170,$C$6:C170,"League"))</f>
        <v/>
      </c>
      <c r="N170" s="31" t="str">
        <f t="shared" si="7"/>
        <v/>
      </c>
      <c r="O170" s="37" t="str">
        <f t="shared" si="8"/>
        <v/>
      </c>
    </row>
    <row r="171" spans="1:15" ht="15">
      <c r="A171" s="30">
        <v>36</v>
      </c>
      <c r="B171" s="31" t="s">
        <v>494</v>
      </c>
      <c r="C171" s="31" t="s">
        <v>473</v>
      </c>
      <c r="D171" s="31" t="s">
        <v>490</v>
      </c>
      <c r="E171" s="31" t="s">
        <v>491</v>
      </c>
      <c r="F171" s="31" t="str">
        <f>IF(H171=1,INDEX('Match Results'!$G$6:$G$185,MATCH(A171,'Match Results'!$A$6:$A$185,0)),INDEX('Match Results'!$H$6:$H$185,MATCH(A171,'Match Results'!$A$6:$A$185,0)))</f>
        <v>A1</v>
      </c>
      <c r="G171" s="31" t="str">
        <f>IF(H171=1,INDEX('Match Results'!$H$6:$H$185,MATCH(A171,'Match Results'!$A$6:$A$185,0)),INDEX('Match Results'!$G$6:$G$185,MATCH(A171,'Match Results'!$A$6:$A$185,0)))</f>
        <v>A3</v>
      </c>
      <c r="H171" s="31">
        <v>1</v>
      </c>
      <c r="I171" s="31">
        <v>6</v>
      </c>
      <c r="J171" s="32"/>
      <c r="K171" s="31" t="str">
        <f>IF(J171="","",IFERROR(INDEX('Team Rosters'!$C$6:$C$205,MATCH(J171,'Team Rosters'!$B$6:$B$205,0)),"CODE NOT FOUND"))</f>
        <v/>
      </c>
      <c r="L171" s="31" t="str">
        <f t="shared" si="6"/>
        <v/>
      </c>
      <c r="M171" s="31" t="str">
        <f>IF(OR(J171="",C171&lt;&gt;"League",L171&lt;&gt;"VALID"),"",COUNTIFS($J$6:J171,J171,$G$6:G171,G171,$C$6:C171,"League"))</f>
        <v/>
      </c>
      <c r="N171" s="31" t="str">
        <f t="shared" si="7"/>
        <v/>
      </c>
      <c r="O171" s="37" t="str">
        <f t="shared" si="8"/>
        <v/>
      </c>
    </row>
    <row r="172" spans="1:15" ht="15">
      <c r="A172" s="30">
        <v>36</v>
      </c>
      <c r="B172" s="31" t="s">
        <v>494</v>
      </c>
      <c r="C172" s="31" t="s">
        <v>473</v>
      </c>
      <c r="D172" s="31" t="s">
        <v>490</v>
      </c>
      <c r="E172" s="31" t="s">
        <v>491</v>
      </c>
      <c r="F172" s="31" t="str">
        <f>IF(H172=1,INDEX('Match Results'!$G$6:$G$185,MATCH(A172,'Match Results'!$A$6:$A$185,0)),INDEX('Match Results'!$H$6:$H$185,MATCH(A172,'Match Results'!$A$6:$A$185,0)))</f>
        <v>A1</v>
      </c>
      <c r="G172" s="31" t="str">
        <f>IF(H172=1,INDEX('Match Results'!$H$6:$H$185,MATCH(A172,'Match Results'!$A$6:$A$185,0)),INDEX('Match Results'!$G$6:$G$185,MATCH(A172,'Match Results'!$A$6:$A$185,0)))</f>
        <v>A3</v>
      </c>
      <c r="H172" s="31">
        <v>1</v>
      </c>
      <c r="I172" s="31">
        <v>7</v>
      </c>
      <c r="J172" s="32"/>
      <c r="K172" s="31" t="str">
        <f>IF(J172="","",IFERROR(INDEX('Team Rosters'!$C$6:$C$205,MATCH(J172,'Team Rosters'!$B$6:$B$205,0)),"CODE NOT FOUND"))</f>
        <v/>
      </c>
      <c r="L172" s="31" t="str">
        <f t="shared" si="6"/>
        <v/>
      </c>
      <c r="M172" s="31" t="str">
        <f>IF(OR(J172="",C172&lt;&gt;"League",L172&lt;&gt;"VALID"),"",COUNTIFS($J$6:J172,J172,$G$6:G172,G172,$C$6:C172,"League"))</f>
        <v/>
      </c>
      <c r="N172" s="31" t="str">
        <f t="shared" si="7"/>
        <v/>
      </c>
      <c r="O172" s="37" t="str">
        <f t="shared" si="8"/>
        <v/>
      </c>
    </row>
    <row r="173" spans="1:15" ht="15">
      <c r="A173" s="30">
        <v>36</v>
      </c>
      <c r="B173" s="31" t="s">
        <v>494</v>
      </c>
      <c r="C173" s="31" t="s">
        <v>473</v>
      </c>
      <c r="D173" s="31" t="s">
        <v>490</v>
      </c>
      <c r="E173" s="31" t="s">
        <v>491</v>
      </c>
      <c r="F173" s="31" t="str">
        <f>IF(H173=1,INDEX('Match Results'!$G$6:$G$185,MATCH(A173,'Match Results'!$A$6:$A$185,0)),INDEX('Match Results'!$H$6:$H$185,MATCH(A173,'Match Results'!$A$6:$A$185,0)))</f>
        <v>A3</v>
      </c>
      <c r="G173" s="31" t="str">
        <f>IF(H173=1,INDEX('Match Results'!$H$6:$H$185,MATCH(A173,'Match Results'!$A$6:$A$185,0)),INDEX('Match Results'!$G$6:$G$185,MATCH(A173,'Match Results'!$A$6:$A$185,0)))</f>
        <v>A1</v>
      </c>
      <c r="H173" s="31">
        <v>2</v>
      </c>
      <c r="I173" s="31">
        <v>8</v>
      </c>
      <c r="J173" s="32"/>
      <c r="K173" s="31" t="str">
        <f>IF(J173="","",IFERROR(INDEX('Team Rosters'!$C$6:$C$205,MATCH(J173,'Team Rosters'!$B$6:$B$205,0)),"CODE NOT FOUND"))</f>
        <v/>
      </c>
      <c r="L173" s="31" t="str">
        <f t="shared" si="6"/>
        <v/>
      </c>
      <c r="M173" s="31" t="str">
        <f>IF(OR(J173="",C173&lt;&gt;"League",L173&lt;&gt;"VALID"),"",COUNTIFS($J$6:J173,J173,$G$6:G173,G173,$C$6:C173,"League"))</f>
        <v/>
      </c>
      <c r="N173" s="31" t="str">
        <f t="shared" si="7"/>
        <v/>
      </c>
      <c r="O173" s="37" t="str">
        <f t="shared" si="8"/>
        <v/>
      </c>
    </row>
    <row r="174" spans="1:15" ht="15">
      <c r="A174" s="30">
        <v>36</v>
      </c>
      <c r="B174" s="31" t="s">
        <v>494</v>
      </c>
      <c r="C174" s="31" t="s">
        <v>473</v>
      </c>
      <c r="D174" s="31" t="s">
        <v>490</v>
      </c>
      <c r="E174" s="31" t="s">
        <v>491</v>
      </c>
      <c r="F174" s="31" t="str">
        <f>IF(H174=1,INDEX('Match Results'!$G$6:$G$185,MATCH(A174,'Match Results'!$A$6:$A$185,0)),INDEX('Match Results'!$H$6:$H$185,MATCH(A174,'Match Results'!$A$6:$A$185,0)))</f>
        <v>A3</v>
      </c>
      <c r="G174" s="31" t="str">
        <f>IF(H174=1,INDEX('Match Results'!$H$6:$H$185,MATCH(A174,'Match Results'!$A$6:$A$185,0)),INDEX('Match Results'!$G$6:$G$185,MATCH(A174,'Match Results'!$A$6:$A$185,0)))</f>
        <v>A1</v>
      </c>
      <c r="H174" s="31">
        <v>2</v>
      </c>
      <c r="I174" s="31">
        <v>9</v>
      </c>
      <c r="J174" s="32"/>
      <c r="K174" s="31" t="str">
        <f>IF(J174="","",IFERROR(INDEX('Team Rosters'!$C$6:$C$205,MATCH(J174,'Team Rosters'!$B$6:$B$205,0)),"CODE NOT FOUND"))</f>
        <v/>
      </c>
      <c r="L174" s="31" t="str">
        <f t="shared" si="6"/>
        <v/>
      </c>
      <c r="M174" s="31" t="str">
        <f>IF(OR(J174="",C174&lt;&gt;"League",L174&lt;&gt;"VALID"),"",COUNTIFS($J$6:J174,J174,$G$6:G174,G174,$C$6:C174,"League"))</f>
        <v/>
      </c>
      <c r="N174" s="31" t="str">
        <f t="shared" si="7"/>
        <v/>
      </c>
      <c r="O174" s="37" t="str">
        <f t="shared" si="8"/>
        <v/>
      </c>
    </row>
    <row r="175" spans="1:15" ht="15">
      <c r="A175" s="30">
        <v>36</v>
      </c>
      <c r="B175" s="31" t="s">
        <v>494</v>
      </c>
      <c r="C175" s="31" t="s">
        <v>473</v>
      </c>
      <c r="D175" s="31" t="s">
        <v>490</v>
      </c>
      <c r="E175" s="31" t="s">
        <v>491</v>
      </c>
      <c r="F175" s="31" t="str">
        <f>IF(H175=1,INDEX('Match Results'!$G$6:$G$185,MATCH(A175,'Match Results'!$A$6:$A$185,0)),INDEX('Match Results'!$H$6:$H$185,MATCH(A175,'Match Results'!$A$6:$A$185,0)))</f>
        <v>A3</v>
      </c>
      <c r="G175" s="31" t="str">
        <f>IF(H175=1,INDEX('Match Results'!$H$6:$H$185,MATCH(A175,'Match Results'!$A$6:$A$185,0)),INDEX('Match Results'!$G$6:$G$185,MATCH(A175,'Match Results'!$A$6:$A$185,0)))</f>
        <v>A1</v>
      </c>
      <c r="H175" s="31">
        <v>2</v>
      </c>
      <c r="I175" s="31">
        <v>10</v>
      </c>
      <c r="J175" s="32"/>
      <c r="K175" s="31" t="str">
        <f>IF(J175="","",IFERROR(INDEX('Team Rosters'!$C$6:$C$205,MATCH(J175,'Team Rosters'!$B$6:$B$205,0)),"CODE NOT FOUND"))</f>
        <v/>
      </c>
      <c r="L175" s="31" t="str">
        <f t="shared" si="6"/>
        <v/>
      </c>
      <c r="M175" s="31" t="str">
        <f>IF(OR(J175="",C175&lt;&gt;"League",L175&lt;&gt;"VALID"),"",COUNTIFS($J$6:J175,J175,$G$6:G175,G175,$C$6:C175,"League"))</f>
        <v/>
      </c>
      <c r="N175" s="31" t="str">
        <f t="shared" si="7"/>
        <v/>
      </c>
      <c r="O175" s="37" t="str">
        <f t="shared" si="8"/>
        <v/>
      </c>
    </row>
    <row r="176" spans="1:15" ht="15">
      <c r="A176" s="30">
        <v>36</v>
      </c>
      <c r="B176" s="31" t="s">
        <v>494</v>
      </c>
      <c r="C176" s="31" t="s">
        <v>473</v>
      </c>
      <c r="D176" s="31" t="s">
        <v>490</v>
      </c>
      <c r="E176" s="31" t="s">
        <v>491</v>
      </c>
      <c r="F176" s="31" t="str">
        <f>IF(H176=1,INDEX('Match Results'!$G$6:$G$185,MATCH(A176,'Match Results'!$A$6:$A$185,0)),INDEX('Match Results'!$H$6:$H$185,MATCH(A176,'Match Results'!$A$6:$A$185,0)))</f>
        <v>A3</v>
      </c>
      <c r="G176" s="31" t="str">
        <f>IF(H176=1,INDEX('Match Results'!$H$6:$H$185,MATCH(A176,'Match Results'!$A$6:$A$185,0)),INDEX('Match Results'!$G$6:$G$185,MATCH(A176,'Match Results'!$A$6:$A$185,0)))</f>
        <v>A1</v>
      </c>
      <c r="H176" s="31">
        <v>2</v>
      </c>
      <c r="I176" s="31">
        <v>11</v>
      </c>
      <c r="J176" s="32"/>
      <c r="K176" s="31" t="str">
        <f>IF(J176="","",IFERROR(INDEX('Team Rosters'!$C$6:$C$205,MATCH(J176,'Team Rosters'!$B$6:$B$205,0)),"CODE NOT FOUND"))</f>
        <v/>
      </c>
      <c r="L176" s="31" t="str">
        <f t="shared" si="6"/>
        <v/>
      </c>
      <c r="M176" s="31" t="str">
        <f>IF(OR(J176="",C176&lt;&gt;"League",L176&lt;&gt;"VALID"),"",COUNTIFS($J$6:J176,J176,$G$6:G176,G176,$C$6:C176,"League"))</f>
        <v/>
      </c>
      <c r="N176" s="31" t="str">
        <f t="shared" si="7"/>
        <v/>
      </c>
      <c r="O176" s="37" t="str">
        <f t="shared" si="8"/>
        <v/>
      </c>
    </row>
    <row r="177" spans="1:15" ht="15">
      <c r="A177" s="30">
        <v>36</v>
      </c>
      <c r="B177" s="31" t="s">
        <v>494</v>
      </c>
      <c r="C177" s="31" t="s">
        <v>473</v>
      </c>
      <c r="D177" s="31" t="s">
        <v>490</v>
      </c>
      <c r="E177" s="31" t="s">
        <v>491</v>
      </c>
      <c r="F177" s="31" t="str">
        <f>IF(H177=1,INDEX('Match Results'!$G$6:$G$185,MATCH(A177,'Match Results'!$A$6:$A$185,0)),INDEX('Match Results'!$H$6:$H$185,MATCH(A177,'Match Results'!$A$6:$A$185,0)))</f>
        <v>A3</v>
      </c>
      <c r="G177" s="31" t="str">
        <f>IF(H177=1,INDEX('Match Results'!$H$6:$H$185,MATCH(A177,'Match Results'!$A$6:$A$185,0)),INDEX('Match Results'!$G$6:$G$185,MATCH(A177,'Match Results'!$A$6:$A$185,0)))</f>
        <v>A1</v>
      </c>
      <c r="H177" s="31">
        <v>2</v>
      </c>
      <c r="I177" s="31">
        <v>12</v>
      </c>
      <c r="J177" s="32"/>
      <c r="K177" s="31" t="str">
        <f>IF(J177="","",IFERROR(INDEX('Team Rosters'!$C$6:$C$205,MATCH(J177,'Team Rosters'!$B$6:$B$205,0)),"CODE NOT FOUND"))</f>
        <v/>
      </c>
      <c r="L177" s="31" t="str">
        <f t="shared" si="6"/>
        <v/>
      </c>
      <c r="M177" s="31" t="str">
        <f>IF(OR(J177="",C177&lt;&gt;"League",L177&lt;&gt;"VALID"),"",COUNTIFS($J$6:J177,J177,$G$6:G177,G177,$C$6:C177,"League"))</f>
        <v/>
      </c>
      <c r="N177" s="31" t="str">
        <f t="shared" si="7"/>
        <v/>
      </c>
      <c r="O177" s="37" t="str">
        <f t="shared" si="8"/>
        <v/>
      </c>
    </row>
    <row r="178" spans="1:15" ht="15">
      <c r="A178" s="30">
        <v>36</v>
      </c>
      <c r="B178" s="31" t="s">
        <v>494</v>
      </c>
      <c r="C178" s="31" t="s">
        <v>473</v>
      </c>
      <c r="D178" s="31" t="s">
        <v>490</v>
      </c>
      <c r="E178" s="31" t="s">
        <v>491</v>
      </c>
      <c r="F178" s="31" t="str">
        <f>IF(H178=1,INDEX('Match Results'!$G$6:$G$185,MATCH(A178,'Match Results'!$A$6:$A$185,0)),INDEX('Match Results'!$H$6:$H$185,MATCH(A178,'Match Results'!$A$6:$A$185,0)))</f>
        <v>A3</v>
      </c>
      <c r="G178" s="31" t="str">
        <f>IF(H178=1,INDEX('Match Results'!$H$6:$H$185,MATCH(A178,'Match Results'!$A$6:$A$185,0)),INDEX('Match Results'!$G$6:$G$185,MATCH(A178,'Match Results'!$A$6:$A$185,0)))</f>
        <v>A1</v>
      </c>
      <c r="H178" s="31">
        <v>2</v>
      </c>
      <c r="I178" s="31">
        <v>13</v>
      </c>
      <c r="J178" s="32"/>
      <c r="K178" s="31" t="str">
        <f>IF(J178="","",IFERROR(INDEX('Team Rosters'!$C$6:$C$205,MATCH(J178,'Team Rosters'!$B$6:$B$205,0)),"CODE NOT FOUND"))</f>
        <v/>
      </c>
      <c r="L178" s="31" t="str">
        <f t="shared" si="6"/>
        <v/>
      </c>
      <c r="M178" s="31" t="str">
        <f>IF(OR(J178="",C178&lt;&gt;"League",L178&lt;&gt;"VALID"),"",COUNTIFS($J$6:J178,J178,$G$6:G178,G178,$C$6:C178,"League"))</f>
        <v/>
      </c>
      <c r="N178" s="31" t="str">
        <f t="shared" si="7"/>
        <v/>
      </c>
      <c r="O178" s="37" t="str">
        <f t="shared" si="8"/>
        <v/>
      </c>
    </row>
    <row r="179" spans="1:15" ht="15">
      <c r="A179" s="30">
        <v>36</v>
      </c>
      <c r="B179" s="31" t="s">
        <v>494</v>
      </c>
      <c r="C179" s="31" t="s">
        <v>473</v>
      </c>
      <c r="D179" s="31" t="s">
        <v>490</v>
      </c>
      <c r="E179" s="31" t="s">
        <v>491</v>
      </c>
      <c r="F179" s="31" t="str">
        <f>IF(H179=1,INDEX('Match Results'!$G$6:$G$185,MATCH(A179,'Match Results'!$A$6:$A$185,0)),INDEX('Match Results'!$H$6:$H$185,MATCH(A179,'Match Results'!$A$6:$A$185,0)))</f>
        <v>A3</v>
      </c>
      <c r="G179" s="31" t="str">
        <f>IF(H179=1,INDEX('Match Results'!$H$6:$H$185,MATCH(A179,'Match Results'!$A$6:$A$185,0)),INDEX('Match Results'!$G$6:$G$185,MATCH(A179,'Match Results'!$A$6:$A$185,0)))</f>
        <v>A1</v>
      </c>
      <c r="H179" s="31">
        <v>2</v>
      </c>
      <c r="I179" s="31">
        <v>14</v>
      </c>
      <c r="J179" s="32"/>
      <c r="K179" s="31" t="str">
        <f>IF(J179="","",IFERROR(INDEX('Team Rosters'!$C$6:$C$205,MATCH(J179,'Team Rosters'!$B$6:$B$205,0)),"CODE NOT FOUND"))</f>
        <v/>
      </c>
      <c r="L179" s="31" t="str">
        <f t="shared" si="6"/>
        <v/>
      </c>
      <c r="M179" s="31" t="str">
        <f>IF(OR(J179="",C179&lt;&gt;"League",L179&lt;&gt;"VALID"),"",COUNTIFS($J$6:J179,J179,$G$6:G179,G179,$C$6:C179,"League"))</f>
        <v/>
      </c>
      <c r="N179" s="31" t="str">
        <f t="shared" si="7"/>
        <v/>
      </c>
      <c r="O179" s="37" t="str">
        <f t="shared" si="8"/>
        <v/>
      </c>
    </row>
    <row r="180" spans="1:15" ht="15">
      <c r="A180" s="30">
        <v>37</v>
      </c>
      <c r="B180" s="31" t="s">
        <v>495</v>
      </c>
      <c r="C180" s="31" t="s">
        <v>473</v>
      </c>
      <c r="D180" s="31" t="s">
        <v>471</v>
      </c>
      <c r="E180" s="31" t="s">
        <v>472</v>
      </c>
      <c r="F180" s="31" t="str">
        <f>IF(H180=1,INDEX('Match Results'!$G$6:$G$185,MATCH(A180,'Match Results'!$A$6:$A$185,0)),INDEX('Match Results'!$H$6:$H$185,MATCH(A180,'Match Results'!$A$6:$A$185,0)))</f>
        <v>A1</v>
      </c>
      <c r="G180" s="31" t="str">
        <f>IF(H180=1,INDEX('Match Results'!$H$6:$H$185,MATCH(A180,'Match Results'!$A$6:$A$185,0)),INDEX('Match Results'!$G$6:$G$185,MATCH(A180,'Match Results'!$A$6:$A$185,0)))</f>
        <v>A3</v>
      </c>
      <c r="H180" s="31">
        <v>1</v>
      </c>
      <c r="I180" s="31">
        <v>1</v>
      </c>
      <c r="J180" s="32"/>
      <c r="K180" s="31" t="str">
        <f>IF(J180="","",IFERROR(INDEX('Team Rosters'!$C$6:$C$205,MATCH(J180,'Team Rosters'!$B$6:$B$205,0)),"CODE NOT FOUND"))</f>
        <v/>
      </c>
      <c r="L180" s="31" t="str">
        <f t="shared" si="6"/>
        <v/>
      </c>
      <c r="M180" s="31" t="str">
        <f>IF(OR(J180="",C180&lt;&gt;"League",L180&lt;&gt;"VALID"),"",COUNTIFS($J$6:J180,J180,$G$6:G180,G180,$C$6:C180,"League"))</f>
        <v/>
      </c>
      <c r="N180" s="31" t="str">
        <f t="shared" si="7"/>
        <v/>
      </c>
      <c r="O180" s="37" t="str">
        <f t="shared" si="8"/>
        <v/>
      </c>
    </row>
    <row r="181" spans="1:15" ht="15">
      <c r="A181" s="30">
        <v>37</v>
      </c>
      <c r="B181" s="31" t="s">
        <v>495</v>
      </c>
      <c r="C181" s="31" t="s">
        <v>473</v>
      </c>
      <c r="D181" s="31" t="s">
        <v>471</v>
      </c>
      <c r="E181" s="31" t="s">
        <v>472</v>
      </c>
      <c r="F181" s="31" t="str">
        <f>IF(H181=1,INDEX('Match Results'!$G$6:$G$185,MATCH(A181,'Match Results'!$A$6:$A$185,0)),INDEX('Match Results'!$H$6:$H$185,MATCH(A181,'Match Results'!$A$6:$A$185,0)))</f>
        <v>A1</v>
      </c>
      <c r="G181" s="31" t="str">
        <f>IF(H181=1,INDEX('Match Results'!$H$6:$H$185,MATCH(A181,'Match Results'!$A$6:$A$185,0)),INDEX('Match Results'!$G$6:$G$185,MATCH(A181,'Match Results'!$A$6:$A$185,0)))</f>
        <v>A3</v>
      </c>
      <c r="H181" s="31">
        <v>1</v>
      </c>
      <c r="I181" s="31">
        <v>2</v>
      </c>
      <c r="J181" s="32"/>
      <c r="K181" s="31" t="str">
        <f>IF(J181="","",IFERROR(INDEX('Team Rosters'!$C$6:$C$205,MATCH(J181,'Team Rosters'!$B$6:$B$205,0)),"CODE NOT FOUND"))</f>
        <v/>
      </c>
      <c r="L181" s="31" t="str">
        <f t="shared" si="6"/>
        <v/>
      </c>
      <c r="M181" s="31" t="str">
        <f>IF(OR(J181="",C181&lt;&gt;"League",L181&lt;&gt;"VALID"),"",COUNTIFS($J$6:J181,J181,$G$6:G181,G181,$C$6:C181,"League"))</f>
        <v/>
      </c>
      <c r="N181" s="31" t="str">
        <f t="shared" si="7"/>
        <v/>
      </c>
      <c r="O181" s="37" t="str">
        <f t="shared" si="8"/>
        <v/>
      </c>
    </row>
    <row r="182" spans="1:15" ht="15">
      <c r="A182" s="30">
        <v>37</v>
      </c>
      <c r="B182" s="31" t="s">
        <v>495</v>
      </c>
      <c r="C182" s="31" t="s">
        <v>473</v>
      </c>
      <c r="D182" s="31" t="s">
        <v>471</v>
      </c>
      <c r="E182" s="31" t="s">
        <v>472</v>
      </c>
      <c r="F182" s="31" t="str">
        <f>IF(H182=1,INDEX('Match Results'!$G$6:$G$185,MATCH(A182,'Match Results'!$A$6:$A$185,0)),INDEX('Match Results'!$H$6:$H$185,MATCH(A182,'Match Results'!$A$6:$A$185,0)))</f>
        <v>A3</v>
      </c>
      <c r="G182" s="31" t="str">
        <f>IF(H182=1,INDEX('Match Results'!$H$6:$H$185,MATCH(A182,'Match Results'!$A$6:$A$185,0)),INDEX('Match Results'!$G$6:$G$185,MATCH(A182,'Match Results'!$A$6:$A$185,0)))</f>
        <v>A1</v>
      </c>
      <c r="H182" s="31">
        <v>2</v>
      </c>
      <c r="I182" s="31">
        <v>3</v>
      </c>
      <c r="J182" s="32"/>
      <c r="K182" s="31" t="str">
        <f>IF(J182="","",IFERROR(INDEX('Team Rosters'!$C$6:$C$205,MATCH(J182,'Team Rosters'!$B$6:$B$205,0)),"CODE NOT FOUND"))</f>
        <v/>
      </c>
      <c r="L182" s="31" t="str">
        <f t="shared" si="6"/>
        <v/>
      </c>
      <c r="M182" s="31" t="str">
        <f>IF(OR(J182="",C182&lt;&gt;"League",L182&lt;&gt;"VALID"),"",COUNTIFS($J$6:J182,J182,$G$6:G182,G182,$C$6:C182,"League"))</f>
        <v/>
      </c>
      <c r="N182" s="31" t="str">
        <f t="shared" si="7"/>
        <v/>
      </c>
      <c r="O182" s="37" t="str">
        <f t="shared" si="8"/>
        <v/>
      </c>
    </row>
    <row r="183" spans="1:15" ht="15">
      <c r="A183" s="30">
        <v>37</v>
      </c>
      <c r="B183" s="31" t="s">
        <v>495</v>
      </c>
      <c r="C183" s="31" t="s">
        <v>473</v>
      </c>
      <c r="D183" s="31" t="s">
        <v>471</v>
      </c>
      <c r="E183" s="31" t="s">
        <v>472</v>
      </c>
      <c r="F183" s="31" t="str">
        <f>IF(H183=1,INDEX('Match Results'!$G$6:$G$185,MATCH(A183,'Match Results'!$A$6:$A$185,0)),INDEX('Match Results'!$H$6:$H$185,MATCH(A183,'Match Results'!$A$6:$A$185,0)))</f>
        <v>A3</v>
      </c>
      <c r="G183" s="31" t="str">
        <f>IF(H183=1,INDEX('Match Results'!$H$6:$H$185,MATCH(A183,'Match Results'!$A$6:$A$185,0)),INDEX('Match Results'!$G$6:$G$185,MATCH(A183,'Match Results'!$A$6:$A$185,0)))</f>
        <v>A1</v>
      </c>
      <c r="H183" s="31">
        <v>2</v>
      </c>
      <c r="I183" s="31">
        <v>4</v>
      </c>
      <c r="J183" s="32"/>
      <c r="K183" s="31" t="str">
        <f>IF(J183="","",IFERROR(INDEX('Team Rosters'!$C$6:$C$205,MATCH(J183,'Team Rosters'!$B$6:$B$205,0)),"CODE NOT FOUND"))</f>
        <v/>
      </c>
      <c r="L183" s="31" t="str">
        <f t="shared" si="6"/>
        <v/>
      </c>
      <c r="M183" s="31" t="str">
        <f>IF(OR(J183="",C183&lt;&gt;"League",L183&lt;&gt;"VALID"),"",COUNTIFS($J$6:J183,J183,$G$6:G183,G183,$C$6:C183,"League"))</f>
        <v/>
      </c>
      <c r="N183" s="31" t="str">
        <f t="shared" si="7"/>
        <v/>
      </c>
      <c r="O183" s="37" t="str">
        <f t="shared" si="8"/>
        <v/>
      </c>
    </row>
    <row r="184" spans="1:15" ht="15">
      <c r="A184" s="30">
        <v>38</v>
      </c>
      <c r="B184" s="31" t="s">
        <v>495</v>
      </c>
      <c r="C184" s="31" t="s">
        <v>473</v>
      </c>
      <c r="D184" s="31" t="s">
        <v>471</v>
      </c>
      <c r="E184" s="31" t="s">
        <v>477</v>
      </c>
      <c r="F184" s="31" t="str">
        <f>IF(H184=1,INDEX('Match Results'!$G$6:$G$185,MATCH(A184,'Match Results'!$A$6:$A$185,0)),INDEX('Match Results'!$H$6:$H$185,MATCH(A184,'Match Results'!$A$6:$A$185,0)))</f>
        <v>B1</v>
      </c>
      <c r="G184" s="31" t="str">
        <f>IF(H184=1,INDEX('Match Results'!$H$6:$H$185,MATCH(A184,'Match Results'!$A$6:$A$185,0)),INDEX('Match Results'!$G$6:$G$185,MATCH(A184,'Match Results'!$A$6:$A$185,0)))</f>
        <v>B3</v>
      </c>
      <c r="H184" s="31">
        <v>1</v>
      </c>
      <c r="I184" s="31">
        <v>1</v>
      </c>
      <c r="J184" s="32"/>
      <c r="K184" s="31" t="str">
        <f>IF(J184="","",IFERROR(INDEX('Team Rosters'!$C$6:$C$205,MATCH(J184,'Team Rosters'!$B$6:$B$205,0)),"CODE NOT FOUND"))</f>
        <v/>
      </c>
      <c r="L184" s="31" t="str">
        <f t="shared" si="6"/>
        <v/>
      </c>
      <c r="M184" s="31" t="str">
        <f>IF(OR(J184="",C184&lt;&gt;"League",L184&lt;&gt;"VALID"),"",COUNTIFS($J$6:J184,J184,$G$6:G184,G184,$C$6:C184,"League"))</f>
        <v/>
      </c>
      <c r="N184" s="31" t="str">
        <f t="shared" si="7"/>
        <v/>
      </c>
      <c r="O184" s="37" t="str">
        <f t="shared" si="8"/>
        <v/>
      </c>
    </row>
    <row r="185" spans="1:15" ht="15">
      <c r="A185" s="30">
        <v>38</v>
      </c>
      <c r="B185" s="31" t="s">
        <v>495</v>
      </c>
      <c r="C185" s="31" t="s">
        <v>473</v>
      </c>
      <c r="D185" s="31" t="s">
        <v>471</v>
      </c>
      <c r="E185" s="31" t="s">
        <v>477</v>
      </c>
      <c r="F185" s="31" t="str">
        <f>IF(H185=1,INDEX('Match Results'!$G$6:$G$185,MATCH(A185,'Match Results'!$A$6:$A$185,0)),INDEX('Match Results'!$H$6:$H$185,MATCH(A185,'Match Results'!$A$6:$A$185,0)))</f>
        <v>B1</v>
      </c>
      <c r="G185" s="31" t="str">
        <f>IF(H185=1,INDEX('Match Results'!$H$6:$H$185,MATCH(A185,'Match Results'!$A$6:$A$185,0)),INDEX('Match Results'!$G$6:$G$185,MATCH(A185,'Match Results'!$A$6:$A$185,0)))</f>
        <v>B3</v>
      </c>
      <c r="H185" s="31">
        <v>1</v>
      </c>
      <c r="I185" s="31">
        <v>2</v>
      </c>
      <c r="J185" s="32"/>
      <c r="K185" s="31" t="str">
        <f>IF(J185="","",IFERROR(INDEX('Team Rosters'!$C$6:$C$205,MATCH(J185,'Team Rosters'!$B$6:$B$205,0)),"CODE NOT FOUND"))</f>
        <v/>
      </c>
      <c r="L185" s="31" t="str">
        <f t="shared" si="6"/>
        <v/>
      </c>
      <c r="M185" s="31" t="str">
        <f>IF(OR(J185="",C185&lt;&gt;"League",L185&lt;&gt;"VALID"),"",COUNTIFS($J$6:J185,J185,$G$6:G185,G185,$C$6:C185,"League"))</f>
        <v/>
      </c>
      <c r="N185" s="31" t="str">
        <f t="shared" si="7"/>
        <v/>
      </c>
      <c r="O185" s="37" t="str">
        <f t="shared" si="8"/>
        <v/>
      </c>
    </row>
    <row r="186" spans="1:15" ht="15">
      <c r="A186" s="30">
        <v>38</v>
      </c>
      <c r="B186" s="31" t="s">
        <v>495</v>
      </c>
      <c r="C186" s="31" t="s">
        <v>473</v>
      </c>
      <c r="D186" s="31" t="s">
        <v>471</v>
      </c>
      <c r="E186" s="31" t="s">
        <v>477</v>
      </c>
      <c r="F186" s="31" t="str">
        <f>IF(H186=1,INDEX('Match Results'!$G$6:$G$185,MATCH(A186,'Match Results'!$A$6:$A$185,0)),INDEX('Match Results'!$H$6:$H$185,MATCH(A186,'Match Results'!$A$6:$A$185,0)))</f>
        <v>B3</v>
      </c>
      <c r="G186" s="31" t="str">
        <f>IF(H186=1,INDEX('Match Results'!$H$6:$H$185,MATCH(A186,'Match Results'!$A$6:$A$185,0)),INDEX('Match Results'!$G$6:$G$185,MATCH(A186,'Match Results'!$A$6:$A$185,0)))</f>
        <v>B1</v>
      </c>
      <c r="H186" s="31">
        <v>2</v>
      </c>
      <c r="I186" s="31">
        <v>3</v>
      </c>
      <c r="J186" s="32"/>
      <c r="K186" s="31" t="str">
        <f>IF(J186="","",IFERROR(INDEX('Team Rosters'!$C$6:$C$205,MATCH(J186,'Team Rosters'!$B$6:$B$205,0)),"CODE NOT FOUND"))</f>
        <v/>
      </c>
      <c r="L186" s="31" t="str">
        <f t="shared" si="6"/>
        <v/>
      </c>
      <c r="M186" s="31" t="str">
        <f>IF(OR(J186="",C186&lt;&gt;"League",L186&lt;&gt;"VALID"),"",COUNTIFS($J$6:J186,J186,$G$6:G186,G186,$C$6:C186,"League"))</f>
        <v/>
      </c>
      <c r="N186" s="31" t="str">
        <f t="shared" si="7"/>
        <v/>
      </c>
      <c r="O186" s="37" t="str">
        <f t="shared" si="8"/>
        <v/>
      </c>
    </row>
    <row r="187" spans="1:15" ht="15">
      <c r="A187" s="30">
        <v>38</v>
      </c>
      <c r="B187" s="31" t="s">
        <v>495</v>
      </c>
      <c r="C187" s="31" t="s">
        <v>473</v>
      </c>
      <c r="D187" s="31" t="s">
        <v>471</v>
      </c>
      <c r="E187" s="31" t="s">
        <v>477</v>
      </c>
      <c r="F187" s="31" t="str">
        <f>IF(H187=1,INDEX('Match Results'!$G$6:$G$185,MATCH(A187,'Match Results'!$A$6:$A$185,0)),INDEX('Match Results'!$H$6:$H$185,MATCH(A187,'Match Results'!$A$6:$A$185,0)))</f>
        <v>B3</v>
      </c>
      <c r="G187" s="31" t="str">
        <f>IF(H187=1,INDEX('Match Results'!$H$6:$H$185,MATCH(A187,'Match Results'!$A$6:$A$185,0)),INDEX('Match Results'!$G$6:$G$185,MATCH(A187,'Match Results'!$A$6:$A$185,0)))</f>
        <v>B1</v>
      </c>
      <c r="H187" s="31">
        <v>2</v>
      </c>
      <c r="I187" s="31">
        <v>4</v>
      </c>
      <c r="J187" s="32"/>
      <c r="K187" s="31" t="str">
        <f>IF(J187="","",IFERROR(INDEX('Team Rosters'!$C$6:$C$205,MATCH(J187,'Team Rosters'!$B$6:$B$205,0)),"CODE NOT FOUND"))</f>
        <v/>
      </c>
      <c r="L187" s="31" t="str">
        <f t="shared" si="6"/>
        <v/>
      </c>
      <c r="M187" s="31" t="str">
        <f>IF(OR(J187="",C187&lt;&gt;"League",L187&lt;&gt;"VALID"),"",COUNTIFS($J$6:J187,J187,$G$6:G187,G187,$C$6:C187,"League"))</f>
        <v/>
      </c>
      <c r="N187" s="31" t="str">
        <f t="shared" si="7"/>
        <v/>
      </c>
      <c r="O187" s="37" t="str">
        <f t="shared" si="8"/>
        <v/>
      </c>
    </row>
    <row r="188" spans="1:15" ht="15">
      <c r="A188" s="30">
        <v>39</v>
      </c>
      <c r="B188" s="31" t="s">
        <v>495</v>
      </c>
      <c r="C188" s="31" t="s">
        <v>473</v>
      </c>
      <c r="D188" s="31" t="s">
        <v>471</v>
      </c>
      <c r="E188" s="31" t="s">
        <v>475</v>
      </c>
      <c r="F188" s="31" t="str">
        <f>IF(H188=1,INDEX('Match Results'!$G$6:$G$185,MATCH(A188,'Match Results'!$A$6:$A$185,0)),INDEX('Match Results'!$H$6:$H$185,MATCH(A188,'Match Results'!$A$6:$A$185,0)))</f>
        <v>B2</v>
      </c>
      <c r="G188" s="31" t="str">
        <f>IF(H188=1,INDEX('Match Results'!$H$6:$H$185,MATCH(A188,'Match Results'!$A$6:$A$185,0)),INDEX('Match Results'!$G$6:$G$185,MATCH(A188,'Match Results'!$A$6:$A$185,0)))</f>
        <v>B4</v>
      </c>
      <c r="H188" s="31">
        <v>1</v>
      </c>
      <c r="I188" s="31">
        <v>1</v>
      </c>
      <c r="J188" s="32"/>
      <c r="K188" s="31" t="str">
        <f>IF(J188="","",IFERROR(INDEX('Team Rosters'!$C$6:$C$205,MATCH(J188,'Team Rosters'!$B$6:$B$205,0)),"CODE NOT FOUND"))</f>
        <v/>
      </c>
      <c r="L188" s="31" t="str">
        <f t="shared" si="6"/>
        <v/>
      </c>
      <c r="M188" s="31" t="str">
        <f>IF(OR(J188="",C188&lt;&gt;"League",L188&lt;&gt;"VALID"),"",COUNTIFS($J$6:J188,J188,$G$6:G188,G188,$C$6:C188,"League"))</f>
        <v/>
      </c>
      <c r="N188" s="31" t="str">
        <f t="shared" si="7"/>
        <v/>
      </c>
      <c r="O188" s="37" t="str">
        <f t="shared" si="8"/>
        <v/>
      </c>
    </row>
    <row r="189" spans="1:15" ht="15">
      <c r="A189" s="30">
        <v>39</v>
      </c>
      <c r="B189" s="31" t="s">
        <v>495</v>
      </c>
      <c r="C189" s="31" t="s">
        <v>473</v>
      </c>
      <c r="D189" s="31" t="s">
        <v>471</v>
      </c>
      <c r="E189" s="31" t="s">
        <v>475</v>
      </c>
      <c r="F189" s="31" t="str">
        <f>IF(H189=1,INDEX('Match Results'!$G$6:$G$185,MATCH(A189,'Match Results'!$A$6:$A$185,0)),INDEX('Match Results'!$H$6:$H$185,MATCH(A189,'Match Results'!$A$6:$A$185,0)))</f>
        <v>B2</v>
      </c>
      <c r="G189" s="31" t="str">
        <f>IF(H189=1,INDEX('Match Results'!$H$6:$H$185,MATCH(A189,'Match Results'!$A$6:$A$185,0)),INDEX('Match Results'!$G$6:$G$185,MATCH(A189,'Match Results'!$A$6:$A$185,0)))</f>
        <v>B4</v>
      </c>
      <c r="H189" s="31">
        <v>1</v>
      </c>
      <c r="I189" s="31">
        <v>2</v>
      </c>
      <c r="J189" s="32"/>
      <c r="K189" s="31" t="str">
        <f>IF(J189="","",IFERROR(INDEX('Team Rosters'!$C$6:$C$205,MATCH(J189,'Team Rosters'!$B$6:$B$205,0)),"CODE NOT FOUND"))</f>
        <v/>
      </c>
      <c r="L189" s="31" t="str">
        <f t="shared" si="6"/>
        <v/>
      </c>
      <c r="M189" s="31" t="str">
        <f>IF(OR(J189="",C189&lt;&gt;"League",L189&lt;&gt;"VALID"),"",COUNTIFS($J$6:J189,J189,$G$6:G189,G189,$C$6:C189,"League"))</f>
        <v/>
      </c>
      <c r="N189" s="31" t="str">
        <f t="shared" si="7"/>
        <v/>
      </c>
      <c r="O189" s="37" t="str">
        <f t="shared" si="8"/>
        <v/>
      </c>
    </row>
    <row r="190" spans="1:15" ht="15">
      <c r="A190" s="30">
        <v>39</v>
      </c>
      <c r="B190" s="31" t="s">
        <v>495</v>
      </c>
      <c r="C190" s="31" t="s">
        <v>473</v>
      </c>
      <c r="D190" s="31" t="s">
        <v>471</v>
      </c>
      <c r="E190" s="31" t="s">
        <v>475</v>
      </c>
      <c r="F190" s="31" t="str">
        <f>IF(H190=1,INDEX('Match Results'!$G$6:$G$185,MATCH(A190,'Match Results'!$A$6:$A$185,0)),INDEX('Match Results'!$H$6:$H$185,MATCH(A190,'Match Results'!$A$6:$A$185,0)))</f>
        <v>B4</v>
      </c>
      <c r="G190" s="31" t="str">
        <f>IF(H190=1,INDEX('Match Results'!$H$6:$H$185,MATCH(A190,'Match Results'!$A$6:$A$185,0)),INDEX('Match Results'!$G$6:$G$185,MATCH(A190,'Match Results'!$A$6:$A$185,0)))</f>
        <v>B2</v>
      </c>
      <c r="H190" s="31">
        <v>2</v>
      </c>
      <c r="I190" s="31">
        <v>3</v>
      </c>
      <c r="J190" s="32"/>
      <c r="K190" s="31" t="str">
        <f>IF(J190="","",IFERROR(INDEX('Team Rosters'!$C$6:$C$205,MATCH(J190,'Team Rosters'!$B$6:$B$205,0)),"CODE NOT FOUND"))</f>
        <v/>
      </c>
      <c r="L190" s="31" t="str">
        <f t="shared" si="6"/>
        <v/>
      </c>
      <c r="M190" s="31" t="str">
        <f>IF(OR(J190="",C190&lt;&gt;"League",L190&lt;&gt;"VALID"),"",COUNTIFS($J$6:J190,J190,$G$6:G190,G190,$C$6:C190,"League"))</f>
        <v/>
      </c>
      <c r="N190" s="31" t="str">
        <f t="shared" si="7"/>
        <v/>
      </c>
      <c r="O190" s="37" t="str">
        <f t="shared" si="8"/>
        <v/>
      </c>
    </row>
    <row r="191" spans="1:15" ht="15">
      <c r="A191" s="30">
        <v>39</v>
      </c>
      <c r="B191" s="31" t="s">
        <v>495</v>
      </c>
      <c r="C191" s="31" t="s">
        <v>473</v>
      </c>
      <c r="D191" s="31" t="s">
        <v>471</v>
      </c>
      <c r="E191" s="31" t="s">
        <v>475</v>
      </c>
      <c r="F191" s="31" t="str">
        <f>IF(H191=1,INDEX('Match Results'!$G$6:$G$185,MATCH(A191,'Match Results'!$A$6:$A$185,0)),INDEX('Match Results'!$H$6:$H$185,MATCH(A191,'Match Results'!$A$6:$A$185,0)))</f>
        <v>B4</v>
      </c>
      <c r="G191" s="31" t="str">
        <f>IF(H191=1,INDEX('Match Results'!$H$6:$H$185,MATCH(A191,'Match Results'!$A$6:$A$185,0)),INDEX('Match Results'!$G$6:$G$185,MATCH(A191,'Match Results'!$A$6:$A$185,0)))</f>
        <v>B2</v>
      </c>
      <c r="H191" s="31">
        <v>2</v>
      </c>
      <c r="I191" s="31">
        <v>4</v>
      </c>
      <c r="J191" s="32"/>
      <c r="K191" s="31" t="str">
        <f>IF(J191="","",IFERROR(INDEX('Team Rosters'!$C$6:$C$205,MATCH(J191,'Team Rosters'!$B$6:$B$205,0)),"CODE NOT FOUND"))</f>
        <v/>
      </c>
      <c r="L191" s="31" t="str">
        <f t="shared" si="6"/>
        <v/>
      </c>
      <c r="M191" s="31" t="str">
        <f>IF(OR(J191="",C191&lt;&gt;"League",L191&lt;&gt;"VALID"),"",COUNTIFS($J$6:J191,J191,$G$6:G191,G191,$C$6:C191,"League"))</f>
        <v/>
      </c>
      <c r="N191" s="31" t="str">
        <f t="shared" si="7"/>
        <v/>
      </c>
      <c r="O191" s="37" t="str">
        <f t="shared" si="8"/>
        <v/>
      </c>
    </row>
    <row r="192" spans="1:15" ht="15">
      <c r="A192" s="30">
        <v>40</v>
      </c>
      <c r="B192" s="31" t="s">
        <v>495</v>
      </c>
      <c r="C192" s="31" t="s">
        <v>473</v>
      </c>
      <c r="D192" s="31" t="s">
        <v>479</v>
      </c>
      <c r="E192" s="31" t="s">
        <v>472</v>
      </c>
      <c r="F192" s="31" t="str">
        <f>IF(H192=1,INDEX('Match Results'!$G$6:$G$185,MATCH(A192,'Match Results'!$A$6:$A$185,0)),INDEX('Match Results'!$H$6:$H$185,MATCH(A192,'Match Results'!$A$6:$A$185,0)))</f>
        <v>A1</v>
      </c>
      <c r="G192" s="31" t="str">
        <f>IF(H192=1,INDEX('Match Results'!$H$6:$H$185,MATCH(A192,'Match Results'!$A$6:$A$185,0)),INDEX('Match Results'!$G$6:$G$185,MATCH(A192,'Match Results'!$A$6:$A$185,0)))</f>
        <v>A2</v>
      </c>
      <c r="H192" s="31">
        <v>1</v>
      </c>
      <c r="I192" s="31">
        <v>1</v>
      </c>
      <c r="J192" s="32"/>
      <c r="K192" s="31" t="str">
        <f>IF(J192="","",IFERROR(INDEX('Team Rosters'!$C$6:$C$205,MATCH(J192,'Team Rosters'!$B$6:$B$205,0)),"CODE NOT FOUND"))</f>
        <v/>
      </c>
      <c r="L192" s="31" t="str">
        <f t="shared" si="6"/>
        <v/>
      </c>
      <c r="M192" s="31" t="str">
        <f>IF(OR(J192="",C192&lt;&gt;"League",L192&lt;&gt;"VALID"),"",COUNTIFS($J$6:J192,J192,$G$6:G192,G192,$C$6:C192,"League"))</f>
        <v/>
      </c>
      <c r="N192" s="31" t="str">
        <f t="shared" si="7"/>
        <v/>
      </c>
      <c r="O192" s="37" t="str">
        <f t="shared" si="8"/>
        <v/>
      </c>
    </row>
    <row r="193" spans="1:15" ht="15">
      <c r="A193" s="30">
        <v>40</v>
      </c>
      <c r="B193" s="31" t="s">
        <v>495</v>
      </c>
      <c r="C193" s="31" t="s">
        <v>473</v>
      </c>
      <c r="D193" s="31" t="s">
        <v>479</v>
      </c>
      <c r="E193" s="31" t="s">
        <v>472</v>
      </c>
      <c r="F193" s="31" t="str">
        <f>IF(H193=1,INDEX('Match Results'!$G$6:$G$185,MATCH(A193,'Match Results'!$A$6:$A$185,0)),INDEX('Match Results'!$H$6:$H$185,MATCH(A193,'Match Results'!$A$6:$A$185,0)))</f>
        <v>A1</v>
      </c>
      <c r="G193" s="31" t="str">
        <f>IF(H193=1,INDEX('Match Results'!$H$6:$H$185,MATCH(A193,'Match Results'!$A$6:$A$185,0)),INDEX('Match Results'!$G$6:$G$185,MATCH(A193,'Match Results'!$A$6:$A$185,0)))</f>
        <v>A2</v>
      </c>
      <c r="H193" s="31">
        <v>1</v>
      </c>
      <c r="I193" s="31">
        <v>2</v>
      </c>
      <c r="J193" s="32"/>
      <c r="K193" s="31" t="str">
        <f>IF(J193="","",IFERROR(INDEX('Team Rosters'!$C$6:$C$205,MATCH(J193,'Team Rosters'!$B$6:$B$205,0)),"CODE NOT FOUND"))</f>
        <v/>
      </c>
      <c r="L193" s="31" t="str">
        <f t="shared" si="6"/>
        <v/>
      </c>
      <c r="M193" s="31" t="str">
        <f>IF(OR(J193="",C193&lt;&gt;"League",L193&lt;&gt;"VALID"),"",COUNTIFS($J$6:J193,J193,$G$6:G193,G193,$C$6:C193,"League"))</f>
        <v/>
      </c>
      <c r="N193" s="31" t="str">
        <f t="shared" si="7"/>
        <v/>
      </c>
      <c r="O193" s="37" t="str">
        <f t="shared" si="8"/>
        <v/>
      </c>
    </row>
    <row r="194" spans="1:15" ht="15">
      <c r="A194" s="30">
        <v>40</v>
      </c>
      <c r="B194" s="31" t="s">
        <v>495</v>
      </c>
      <c r="C194" s="31" t="s">
        <v>473</v>
      </c>
      <c r="D194" s="31" t="s">
        <v>479</v>
      </c>
      <c r="E194" s="31" t="s">
        <v>472</v>
      </c>
      <c r="F194" s="31" t="str">
        <f>IF(H194=1,INDEX('Match Results'!$G$6:$G$185,MATCH(A194,'Match Results'!$A$6:$A$185,0)),INDEX('Match Results'!$H$6:$H$185,MATCH(A194,'Match Results'!$A$6:$A$185,0)))</f>
        <v>A2</v>
      </c>
      <c r="G194" s="31" t="str">
        <f>IF(H194=1,INDEX('Match Results'!$H$6:$H$185,MATCH(A194,'Match Results'!$A$6:$A$185,0)),INDEX('Match Results'!$G$6:$G$185,MATCH(A194,'Match Results'!$A$6:$A$185,0)))</f>
        <v>A1</v>
      </c>
      <c r="H194" s="31">
        <v>2</v>
      </c>
      <c r="I194" s="31">
        <v>3</v>
      </c>
      <c r="J194" s="32"/>
      <c r="K194" s="31" t="str">
        <f>IF(J194="","",IFERROR(INDEX('Team Rosters'!$C$6:$C$205,MATCH(J194,'Team Rosters'!$B$6:$B$205,0)),"CODE NOT FOUND"))</f>
        <v/>
      </c>
      <c r="L194" s="31" t="str">
        <f t="shared" si="6"/>
        <v/>
      </c>
      <c r="M194" s="31" t="str">
        <f>IF(OR(J194="",C194&lt;&gt;"League",L194&lt;&gt;"VALID"),"",COUNTIFS($J$6:J194,J194,$G$6:G194,G194,$C$6:C194,"League"))</f>
        <v/>
      </c>
      <c r="N194" s="31" t="str">
        <f t="shared" si="7"/>
        <v/>
      </c>
      <c r="O194" s="37" t="str">
        <f t="shared" si="8"/>
        <v/>
      </c>
    </row>
    <row r="195" spans="1:15" ht="15">
      <c r="A195" s="30">
        <v>40</v>
      </c>
      <c r="B195" s="31" t="s">
        <v>495</v>
      </c>
      <c r="C195" s="31" t="s">
        <v>473</v>
      </c>
      <c r="D195" s="31" t="s">
        <v>479</v>
      </c>
      <c r="E195" s="31" t="s">
        <v>472</v>
      </c>
      <c r="F195" s="31" t="str">
        <f>IF(H195=1,INDEX('Match Results'!$G$6:$G$185,MATCH(A195,'Match Results'!$A$6:$A$185,0)),INDEX('Match Results'!$H$6:$H$185,MATCH(A195,'Match Results'!$A$6:$A$185,0)))</f>
        <v>A2</v>
      </c>
      <c r="G195" s="31" t="str">
        <f>IF(H195=1,INDEX('Match Results'!$H$6:$H$185,MATCH(A195,'Match Results'!$A$6:$A$185,0)),INDEX('Match Results'!$G$6:$G$185,MATCH(A195,'Match Results'!$A$6:$A$185,0)))</f>
        <v>A1</v>
      </c>
      <c r="H195" s="31">
        <v>2</v>
      </c>
      <c r="I195" s="31">
        <v>4</v>
      </c>
      <c r="J195" s="32"/>
      <c r="K195" s="31" t="str">
        <f>IF(J195="","",IFERROR(INDEX('Team Rosters'!$C$6:$C$205,MATCH(J195,'Team Rosters'!$B$6:$B$205,0)),"CODE NOT FOUND"))</f>
        <v/>
      </c>
      <c r="L195" s="31" t="str">
        <f t="shared" si="6"/>
        <v/>
      </c>
      <c r="M195" s="31" t="str">
        <f>IF(OR(J195="",C195&lt;&gt;"League",L195&lt;&gt;"VALID"),"",COUNTIFS($J$6:J195,J195,$G$6:G195,G195,$C$6:C195,"League"))</f>
        <v/>
      </c>
      <c r="N195" s="31" t="str">
        <f t="shared" si="7"/>
        <v/>
      </c>
      <c r="O195" s="37" t="str">
        <f t="shared" si="8"/>
        <v/>
      </c>
    </row>
    <row r="196" spans="1:15" ht="15">
      <c r="A196" s="30">
        <v>41</v>
      </c>
      <c r="B196" s="31" t="s">
        <v>495</v>
      </c>
      <c r="C196" s="31" t="s">
        <v>473</v>
      </c>
      <c r="D196" s="31" t="s">
        <v>479</v>
      </c>
      <c r="E196" s="31" t="s">
        <v>475</v>
      </c>
      <c r="F196" s="31" t="str">
        <f>IF(H196=1,INDEX('Match Results'!$G$6:$G$185,MATCH(A196,'Match Results'!$A$6:$A$185,0)),INDEX('Match Results'!$H$6:$H$185,MATCH(A196,'Match Results'!$A$6:$A$185,0)))</f>
        <v>A3</v>
      </c>
      <c r="G196" s="31" t="str">
        <f>IF(H196=1,INDEX('Match Results'!$H$6:$H$185,MATCH(A196,'Match Results'!$A$6:$A$185,0)),INDEX('Match Results'!$G$6:$G$185,MATCH(A196,'Match Results'!$A$6:$A$185,0)))</f>
        <v>A4</v>
      </c>
      <c r="H196" s="31">
        <v>1</v>
      </c>
      <c r="I196" s="31">
        <v>1</v>
      </c>
      <c r="J196" s="32"/>
      <c r="K196" s="31" t="str">
        <f>IF(J196="","",IFERROR(INDEX('Team Rosters'!$C$6:$C$205,MATCH(J196,'Team Rosters'!$B$6:$B$205,0)),"CODE NOT FOUND"))</f>
        <v/>
      </c>
      <c r="L196" s="31" t="str">
        <f t="shared" si="6"/>
        <v/>
      </c>
      <c r="M196" s="31" t="str">
        <f>IF(OR(J196="",C196&lt;&gt;"League",L196&lt;&gt;"VALID"),"",COUNTIFS($J$6:J196,J196,$G$6:G196,G196,$C$6:C196,"League"))</f>
        <v/>
      </c>
      <c r="N196" s="31" t="str">
        <f t="shared" si="7"/>
        <v/>
      </c>
      <c r="O196" s="37" t="str">
        <f t="shared" si="8"/>
        <v/>
      </c>
    </row>
    <row r="197" spans="1:15" ht="15">
      <c r="A197" s="30">
        <v>41</v>
      </c>
      <c r="B197" s="31" t="s">
        <v>495</v>
      </c>
      <c r="C197" s="31" t="s">
        <v>473</v>
      </c>
      <c r="D197" s="31" t="s">
        <v>479</v>
      </c>
      <c r="E197" s="31" t="s">
        <v>475</v>
      </c>
      <c r="F197" s="31" t="str">
        <f>IF(H197=1,INDEX('Match Results'!$G$6:$G$185,MATCH(A197,'Match Results'!$A$6:$A$185,0)),INDEX('Match Results'!$H$6:$H$185,MATCH(A197,'Match Results'!$A$6:$A$185,0)))</f>
        <v>A3</v>
      </c>
      <c r="G197" s="31" t="str">
        <f>IF(H197=1,INDEX('Match Results'!$H$6:$H$185,MATCH(A197,'Match Results'!$A$6:$A$185,0)),INDEX('Match Results'!$G$6:$G$185,MATCH(A197,'Match Results'!$A$6:$A$185,0)))</f>
        <v>A4</v>
      </c>
      <c r="H197" s="31">
        <v>1</v>
      </c>
      <c r="I197" s="31">
        <v>2</v>
      </c>
      <c r="J197" s="32"/>
      <c r="K197" s="31" t="str">
        <f>IF(J197="","",IFERROR(INDEX('Team Rosters'!$C$6:$C$205,MATCH(J197,'Team Rosters'!$B$6:$B$205,0)),"CODE NOT FOUND"))</f>
        <v/>
      </c>
      <c r="L197" s="31" t="str">
        <f t="shared" si="6"/>
        <v/>
      </c>
      <c r="M197" s="31" t="str">
        <f>IF(OR(J197="",C197&lt;&gt;"League",L197&lt;&gt;"VALID"),"",COUNTIFS($J$6:J197,J197,$G$6:G197,G197,$C$6:C197,"League"))</f>
        <v/>
      </c>
      <c r="N197" s="31" t="str">
        <f t="shared" si="7"/>
        <v/>
      </c>
      <c r="O197" s="37" t="str">
        <f t="shared" si="8"/>
        <v/>
      </c>
    </row>
    <row r="198" spans="1:15" ht="15">
      <c r="A198" s="30">
        <v>41</v>
      </c>
      <c r="B198" s="31" t="s">
        <v>495</v>
      </c>
      <c r="C198" s="31" t="s">
        <v>473</v>
      </c>
      <c r="D198" s="31" t="s">
        <v>479</v>
      </c>
      <c r="E198" s="31" t="s">
        <v>475</v>
      </c>
      <c r="F198" s="31" t="str">
        <f>IF(H198=1,INDEX('Match Results'!$G$6:$G$185,MATCH(A198,'Match Results'!$A$6:$A$185,0)),INDEX('Match Results'!$H$6:$H$185,MATCH(A198,'Match Results'!$A$6:$A$185,0)))</f>
        <v>A4</v>
      </c>
      <c r="G198" s="31" t="str">
        <f>IF(H198=1,INDEX('Match Results'!$H$6:$H$185,MATCH(A198,'Match Results'!$A$6:$A$185,0)),INDEX('Match Results'!$G$6:$G$185,MATCH(A198,'Match Results'!$A$6:$A$185,0)))</f>
        <v>A3</v>
      </c>
      <c r="H198" s="31">
        <v>2</v>
      </c>
      <c r="I198" s="31">
        <v>3</v>
      </c>
      <c r="J198" s="49"/>
      <c r="K198" s="31" t="str">
        <f>IF(J198="","",IFERROR(INDEX('Team Rosters'!$C$6:$C$205,MATCH(J198,'Team Rosters'!$B$6:$B$205,0)),"CODE NOT FOUND"))</f>
        <v/>
      </c>
      <c r="L198" s="31" t="str">
        <f t="shared" ref="L198:L261" si="9">IF(J198="","",IF(AND(K198&lt;&gt;"",K198&lt;&gt;"CODE NOT FOUND",LEFT(J198,2)=F198),"VALID","CHECK ROSTER"))</f>
        <v/>
      </c>
      <c r="M198" s="31" t="str">
        <f>IF(OR(J198="",C198&lt;&gt;"League",L198&lt;&gt;"VALID"),"",COUNTIFS($J$6:J198,J198,$G$6:G198,G198,$C$6:C198,"League"))</f>
        <v/>
      </c>
      <c r="N198" s="31" t="str">
        <f t="shared" ref="N198:N261" si="10">IF(J198="","",IF(L198&lt;&gt;"VALID","CHECK ROSTER",IF(C198&lt;&gt;"League","NOT APPLICABLE",IF(M198&lt;=2,"OK","VIOLATION"))))</f>
        <v/>
      </c>
      <c r="O198" s="37" t="str">
        <f t="shared" ref="O198:O261" si="11">IF(N198="VIOLATION",K198&amp;" has played "&amp;M198&amp;" league matches against "&amp;G198&amp;"; limit is 2.","")</f>
        <v/>
      </c>
    </row>
    <row r="199" spans="1:15" ht="15">
      <c r="A199" s="30">
        <v>41</v>
      </c>
      <c r="B199" s="31" t="s">
        <v>495</v>
      </c>
      <c r="C199" s="31" t="s">
        <v>473</v>
      </c>
      <c r="D199" s="31" t="s">
        <v>479</v>
      </c>
      <c r="E199" s="31" t="s">
        <v>475</v>
      </c>
      <c r="F199" s="31" t="str">
        <f>IF(H199=1,INDEX('Match Results'!$G$6:$G$185,MATCH(A199,'Match Results'!$A$6:$A$185,0)),INDEX('Match Results'!$H$6:$H$185,MATCH(A199,'Match Results'!$A$6:$A$185,0)))</f>
        <v>A4</v>
      </c>
      <c r="G199" s="31" t="str">
        <f>IF(H199=1,INDEX('Match Results'!$H$6:$H$185,MATCH(A199,'Match Results'!$A$6:$A$185,0)),INDEX('Match Results'!$G$6:$G$185,MATCH(A199,'Match Results'!$A$6:$A$185,0)))</f>
        <v>A3</v>
      </c>
      <c r="H199" s="31">
        <v>2</v>
      </c>
      <c r="I199" s="31">
        <v>4</v>
      </c>
      <c r="J199" s="49"/>
      <c r="K199" s="31" t="str">
        <f>IF(J199="","",IFERROR(INDEX('Team Rosters'!$C$6:$C$205,MATCH(J199,'Team Rosters'!$B$6:$B$205,0)),"CODE NOT FOUND"))</f>
        <v/>
      </c>
      <c r="L199" s="31" t="str">
        <f t="shared" si="9"/>
        <v/>
      </c>
      <c r="M199" s="31" t="str">
        <f>IF(OR(J199="",C199&lt;&gt;"League",L199&lt;&gt;"VALID"),"",COUNTIFS($J$6:J199,J199,$G$6:G199,G199,$C$6:C199,"League"))</f>
        <v/>
      </c>
      <c r="N199" s="31" t="str">
        <f t="shared" si="10"/>
        <v/>
      </c>
      <c r="O199" s="37" t="str">
        <f t="shared" si="11"/>
        <v/>
      </c>
    </row>
    <row r="200" spans="1:15" ht="15">
      <c r="A200" s="30">
        <v>42</v>
      </c>
      <c r="B200" s="31" t="s">
        <v>495</v>
      </c>
      <c r="C200" s="31" t="s">
        <v>473</v>
      </c>
      <c r="D200" s="31" t="s">
        <v>479</v>
      </c>
      <c r="E200" s="31" t="s">
        <v>477</v>
      </c>
      <c r="F200" s="31" t="str">
        <f>IF(H200=1,INDEX('Match Results'!$G$6:$G$185,MATCH(A200,'Match Results'!$A$6:$A$185,0)),INDEX('Match Results'!$H$6:$H$185,MATCH(A200,'Match Results'!$A$6:$A$185,0)))</f>
        <v>B1</v>
      </c>
      <c r="G200" s="31" t="str">
        <f>IF(H200=1,INDEX('Match Results'!$H$6:$H$185,MATCH(A200,'Match Results'!$A$6:$A$185,0)),INDEX('Match Results'!$G$6:$G$185,MATCH(A200,'Match Results'!$A$6:$A$185,0)))</f>
        <v>B4</v>
      </c>
      <c r="H200" s="31">
        <v>1</v>
      </c>
      <c r="I200" s="31">
        <v>1</v>
      </c>
      <c r="J200" s="32"/>
      <c r="K200" s="31" t="str">
        <f>IF(J200="","",IFERROR(INDEX('Team Rosters'!$C$6:$C$205,MATCH(J200,'Team Rosters'!$B$6:$B$205,0)),"CODE NOT FOUND"))</f>
        <v/>
      </c>
      <c r="L200" s="31" t="str">
        <f t="shared" si="9"/>
        <v/>
      </c>
      <c r="M200" s="31" t="str">
        <f>IF(OR(J200="",C200&lt;&gt;"League",L200&lt;&gt;"VALID"),"",COUNTIFS($J$6:J200,J200,$G$6:G200,G200,$C$6:C200,"League"))</f>
        <v/>
      </c>
      <c r="N200" s="31" t="str">
        <f t="shared" si="10"/>
        <v/>
      </c>
      <c r="O200" s="37" t="str">
        <f t="shared" si="11"/>
        <v/>
      </c>
    </row>
    <row r="201" spans="1:15" ht="15">
      <c r="A201" s="30">
        <v>42</v>
      </c>
      <c r="B201" s="31" t="s">
        <v>495</v>
      </c>
      <c r="C201" s="31" t="s">
        <v>473</v>
      </c>
      <c r="D201" s="31" t="s">
        <v>479</v>
      </c>
      <c r="E201" s="31" t="s">
        <v>477</v>
      </c>
      <c r="F201" s="31" t="str">
        <f>IF(H201=1,INDEX('Match Results'!$G$6:$G$185,MATCH(A201,'Match Results'!$A$6:$A$185,0)),INDEX('Match Results'!$H$6:$H$185,MATCH(A201,'Match Results'!$A$6:$A$185,0)))</f>
        <v>B1</v>
      </c>
      <c r="G201" s="31" t="str">
        <f>IF(H201=1,INDEX('Match Results'!$H$6:$H$185,MATCH(A201,'Match Results'!$A$6:$A$185,0)),INDEX('Match Results'!$G$6:$G$185,MATCH(A201,'Match Results'!$A$6:$A$185,0)))</f>
        <v>B4</v>
      </c>
      <c r="H201" s="31">
        <v>1</v>
      </c>
      <c r="I201" s="31">
        <v>2</v>
      </c>
      <c r="J201" s="32"/>
      <c r="K201" s="31" t="str">
        <f>IF(J201="","",IFERROR(INDEX('Team Rosters'!$C$6:$C$205,MATCH(J201,'Team Rosters'!$B$6:$B$205,0)),"CODE NOT FOUND"))</f>
        <v/>
      </c>
      <c r="L201" s="31" t="str">
        <f t="shared" si="9"/>
        <v/>
      </c>
      <c r="M201" s="31" t="str">
        <f>IF(OR(J201="",C201&lt;&gt;"League",L201&lt;&gt;"VALID"),"",COUNTIFS($J$6:J201,J201,$G$6:G201,G201,$C$6:C201,"League"))</f>
        <v/>
      </c>
      <c r="N201" s="31" t="str">
        <f t="shared" si="10"/>
        <v/>
      </c>
      <c r="O201" s="37" t="str">
        <f t="shared" si="11"/>
        <v/>
      </c>
    </row>
    <row r="202" spans="1:15" ht="15">
      <c r="A202" s="30">
        <v>42</v>
      </c>
      <c r="B202" s="31" t="s">
        <v>495</v>
      </c>
      <c r="C202" s="31" t="s">
        <v>473</v>
      </c>
      <c r="D202" s="31" t="s">
        <v>479</v>
      </c>
      <c r="E202" s="31" t="s">
        <v>477</v>
      </c>
      <c r="F202" s="31" t="str">
        <f>IF(H202=1,INDEX('Match Results'!$G$6:$G$185,MATCH(A202,'Match Results'!$A$6:$A$185,0)),INDEX('Match Results'!$H$6:$H$185,MATCH(A202,'Match Results'!$A$6:$A$185,0)))</f>
        <v>B4</v>
      </c>
      <c r="G202" s="31" t="str">
        <f>IF(H202=1,INDEX('Match Results'!$H$6:$H$185,MATCH(A202,'Match Results'!$A$6:$A$185,0)),INDEX('Match Results'!$G$6:$G$185,MATCH(A202,'Match Results'!$A$6:$A$185,0)))</f>
        <v>B1</v>
      </c>
      <c r="H202" s="31">
        <v>2</v>
      </c>
      <c r="I202" s="31">
        <v>3</v>
      </c>
      <c r="J202" s="32"/>
      <c r="K202" s="31" t="str">
        <f>IF(J202="","",IFERROR(INDEX('Team Rosters'!$C$6:$C$205,MATCH(J202,'Team Rosters'!$B$6:$B$205,0)),"CODE NOT FOUND"))</f>
        <v/>
      </c>
      <c r="L202" s="31" t="str">
        <f t="shared" si="9"/>
        <v/>
      </c>
      <c r="M202" s="31" t="str">
        <f>IF(OR(J202="",C202&lt;&gt;"League",L202&lt;&gt;"VALID"),"",COUNTIFS($J$6:J202,J202,$G$6:G202,G202,$C$6:C202,"League"))</f>
        <v/>
      </c>
      <c r="N202" s="31" t="str">
        <f t="shared" si="10"/>
        <v/>
      </c>
      <c r="O202" s="37" t="str">
        <f t="shared" si="11"/>
        <v/>
      </c>
    </row>
    <row r="203" spans="1:15" ht="15">
      <c r="A203" s="30">
        <v>42</v>
      </c>
      <c r="B203" s="31" t="s">
        <v>495</v>
      </c>
      <c r="C203" s="31" t="s">
        <v>473</v>
      </c>
      <c r="D203" s="31" t="s">
        <v>479</v>
      </c>
      <c r="E203" s="31" t="s">
        <v>477</v>
      </c>
      <c r="F203" s="31" t="str">
        <f>IF(H203=1,INDEX('Match Results'!$G$6:$G$185,MATCH(A203,'Match Results'!$A$6:$A$185,0)),INDEX('Match Results'!$H$6:$H$185,MATCH(A203,'Match Results'!$A$6:$A$185,0)))</f>
        <v>B4</v>
      </c>
      <c r="G203" s="31" t="str">
        <f>IF(H203=1,INDEX('Match Results'!$H$6:$H$185,MATCH(A203,'Match Results'!$A$6:$A$185,0)),INDEX('Match Results'!$G$6:$G$185,MATCH(A203,'Match Results'!$A$6:$A$185,0)))</f>
        <v>B1</v>
      </c>
      <c r="H203" s="31">
        <v>2</v>
      </c>
      <c r="I203" s="31">
        <v>4</v>
      </c>
      <c r="J203" s="32"/>
      <c r="K203" s="31" t="str">
        <f>IF(J203="","",IFERROR(INDEX('Team Rosters'!$C$6:$C$205,MATCH(J203,'Team Rosters'!$B$6:$B$205,0)),"CODE NOT FOUND"))</f>
        <v/>
      </c>
      <c r="L203" s="31" t="str">
        <f t="shared" si="9"/>
        <v/>
      </c>
      <c r="M203" s="31" t="str">
        <f>IF(OR(J203="",C203&lt;&gt;"League",L203&lt;&gt;"VALID"),"",COUNTIFS($J$6:J203,J203,$G$6:G203,G203,$C$6:C203,"League"))</f>
        <v/>
      </c>
      <c r="N203" s="31" t="str">
        <f t="shared" si="10"/>
        <v/>
      </c>
      <c r="O203" s="37" t="str">
        <f t="shared" si="11"/>
        <v/>
      </c>
    </row>
    <row r="204" spans="1:15" ht="15">
      <c r="A204" s="30">
        <v>43</v>
      </c>
      <c r="B204" s="31" t="s">
        <v>495</v>
      </c>
      <c r="C204" s="31" t="s">
        <v>473</v>
      </c>
      <c r="D204" s="31" t="s">
        <v>483</v>
      </c>
      <c r="E204" s="31" t="s">
        <v>477</v>
      </c>
      <c r="F204" s="31" t="str">
        <f>IF(H204=1,INDEX('Match Results'!$G$6:$G$185,MATCH(A204,'Match Results'!$A$6:$A$185,0)),INDEX('Match Results'!$H$6:$H$185,MATCH(A204,'Match Results'!$A$6:$A$185,0)))</f>
        <v>A1</v>
      </c>
      <c r="G204" s="31" t="str">
        <f>IF(H204=1,INDEX('Match Results'!$H$6:$H$185,MATCH(A204,'Match Results'!$A$6:$A$185,0)),INDEX('Match Results'!$G$6:$G$185,MATCH(A204,'Match Results'!$A$6:$A$185,0)))</f>
        <v>A4</v>
      </c>
      <c r="H204" s="31">
        <v>1</v>
      </c>
      <c r="I204" s="31">
        <v>1</v>
      </c>
      <c r="J204" s="32"/>
      <c r="K204" s="31" t="str">
        <f>IF(J204="","",IFERROR(INDEX('Team Rosters'!$C$6:$C$205,MATCH(J204,'Team Rosters'!$B$6:$B$205,0)),"CODE NOT FOUND"))</f>
        <v/>
      </c>
      <c r="L204" s="31" t="str">
        <f t="shared" si="9"/>
        <v/>
      </c>
      <c r="M204" s="31" t="str">
        <f>IF(OR(J204="",C204&lt;&gt;"League",L204&lt;&gt;"VALID"),"",COUNTIFS($J$6:J204,J204,$G$6:G204,G204,$C$6:C204,"League"))</f>
        <v/>
      </c>
      <c r="N204" s="31" t="str">
        <f t="shared" si="10"/>
        <v/>
      </c>
      <c r="O204" s="37" t="str">
        <f t="shared" si="11"/>
        <v/>
      </c>
    </row>
    <row r="205" spans="1:15" ht="15">
      <c r="A205" s="30">
        <v>43</v>
      </c>
      <c r="B205" s="31" t="s">
        <v>495</v>
      </c>
      <c r="C205" s="31" t="s">
        <v>473</v>
      </c>
      <c r="D205" s="31" t="s">
        <v>483</v>
      </c>
      <c r="E205" s="31" t="s">
        <v>477</v>
      </c>
      <c r="F205" s="31" t="str">
        <f>IF(H205=1,INDEX('Match Results'!$G$6:$G$185,MATCH(A205,'Match Results'!$A$6:$A$185,0)),INDEX('Match Results'!$H$6:$H$185,MATCH(A205,'Match Results'!$A$6:$A$185,0)))</f>
        <v>A1</v>
      </c>
      <c r="G205" s="31" t="str">
        <f>IF(H205=1,INDEX('Match Results'!$H$6:$H$185,MATCH(A205,'Match Results'!$A$6:$A$185,0)),INDEX('Match Results'!$G$6:$G$185,MATCH(A205,'Match Results'!$A$6:$A$185,0)))</f>
        <v>A4</v>
      </c>
      <c r="H205" s="31">
        <v>1</v>
      </c>
      <c r="I205" s="31">
        <v>2</v>
      </c>
      <c r="J205" s="32"/>
      <c r="K205" s="31" t="str">
        <f>IF(J205="","",IFERROR(INDEX('Team Rosters'!$C$6:$C$205,MATCH(J205,'Team Rosters'!$B$6:$B$205,0)),"CODE NOT FOUND"))</f>
        <v/>
      </c>
      <c r="L205" s="31" t="str">
        <f t="shared" si="9"/>
        <v/>
      </c>
      <c r="M205" s="31" t="str">
        <f>IF(OR(J205="",C205&lt;&gt;"League",L205&lt;&gt;"VALID"),"",COUNTIFS($J$6:J205,J205,$G$6:G205,G205,$C$6:C205,"League"))</f>
        <v/>
      </c>
      <c r="N205" s="31" t="str">
        <f t="shared" si="10"/>
        <v/>
      </c>
      <c r="O205" s="37" t="str">
        <f t="shared" si="11"/>
        <v/>
      </c>
    </row>
    <row r="206" spans="1:15" ht="15">
      <c r="A206" s="30">
        <v>43</v>
      </c>
      <c r="B206" s="31" t="s">
        <v>495</v>
      </c>
      <c r="C206" s="31" t="s">
        <v>473</v>
      </c>
      <c r="D206" s="31" t="s">
        <v>483</v>
      </c>
      <c r="E206" s="31" t="s">
        <v>477</v>
      </c>
      <c r="F206" s="31" t="str">
        <f>IF(H206=1,INDEX('Match Results'!$G$6:$G$185,MATCH(A206,'Match Results'!$A$6:$A$185,0)),INDEX('Match Results'!$H$6:$H$185,MATCH(A206,'Match Results'!$A$6:$A$185,0)))</f>
        <v>A4</v>
      </c>
      <c r="G206" s="31" t="str">
        <f>IF(H206=1,INDEX('Match Results'!$H$6:$H$185,MATCH(A206,'Match Results'!$A$6:$A$185,0)),INDEX('Match Results'!$G$6:$G$185,MATCH(A206,'Match Results'!$A$6:$A$185,0)))</f>
        <v>A1</v>
      </c>
      <c r="H206" s="31">
        <v>2</v>
      </c>
      <c r="I206" s="31">
        <v>3</v>
      </c>
      <c r="J206" s="32"/>
      <c r="K206" s="31" t="str">
        <f>IF(J206="","",IFERROR(INDEX('Team Rosters'!$C$6:$C$205,MATCH(J206,'Team Rosters'!$B$6:$B$205,0)),"CODE NOT FOUND"))</f>
        <v/>
      </c>
      <c r="L206" s="31" t="str">
        <f t="shared" si="9"/>
        <v/>
      </c>
      <c r="M206" s="31" t="str">
        <f>IF(OR(J206="",C206&lt;&gt;"League",L206&lt;&gt;"VALID"),"",COUNTIFS($J$6:J206,J206,$G$6:G206,G206,$C$6:C206,"League"))</f>
        <v/>
      </c>
      <c r="N206" s="31" t="str">
        <f t="shared" si="10"/>
        <v/>
      </c>
      <c r="O206" s="37" t="str">
        <f t="shared" si="11"/>
        <v/>
      </c>
    </row>
    <row r="207" spans="1:15" ht="15">
      <c r="A207" s="30">
        <v>43</v>
      </c>
      <c r="B207" s="31" t="s">
        <v>495</v>
      </c>
      <c r="C207" s="31" t="s">
        <v>473</v>
      </c>
      <c r="D207" s="31" t="s">
        <v>483</v>
      </c>
      <c r="E207" s="31" t="s">
        <v>477</v>
      </c>
      <c r="F207" s="31" t="str">
        <f>IF(H207=1,INDEX('Match Results'!$G$6:$G$185,MATCH(A207,'Match Results'!$A$6:$A$185,0)),INDEX('Match Results'!$H$6:$H$185,MATCH(A207,'Match Results'!$A$6:$A$185,0)))</f>
        <v>A4</v>
      </c>
      <c r="G207" s="31" t="str">
        <f>IF(H207=1,INDEX('Match Results'!$H$6:$H$185,MATCH(A207,'Match Results'!$A$6:$A$185,0)),INDEX('Match Results'!$G$6:$G$185,MATCH(A207,'Match Results'!$A$6:$A$185,0)))</f>
        <v>A1</v>
      </c>
      <c r="H207" s="31">
        <v>2</v>
      </c>
      <c r="I207" s="31">
        <v>4</v>
      </c>
      <c r="J207" s="32"/>
      <c r="K207" s="31" t="str">
        <f>IF(J207="","",IFERROR(INDEX('Team Rosters'!$C$6:$C$205,MATCH(J207,'Team Rosters'!$B$6:$B$205,0)),"CODE NOT FOUND"))</f>
        <v/>
      </c>
      <c r="L207" s="31" t="str">
        <f t="shared" si="9"/>
        <v/>
      </c>
      <c r="M207" s="31" t="str">
        <f>IF(OR(J207="",C207&lt;&gt;"League",L207&lt;&gt;"VALID"),"",COUNTIFS($J$6:J207,J207,$G$6:G207,G207,$C$6:C207,"League"))</f>
        <v/>
      </c>
      <c r="N207" s="31" t="str">
        <f t="shared" si="10"/>
        <v/>
      </c>
      <c r="O207" s="37" t="str">
        <f t="shared" si="11"/>
        <v/>
      </c>
    </row>
    <row r="208" spans="1:15" ht="15">
      <c r="A208" s="30">
        <v>44</v>
      </c>
      <c r="B208" s="31" t="s">
        <v>495</v>
      </c>
      <c r="C208" s="31" t="s">
        <v>473</v>
      </c>
      <c r="D208" s="31" t="s">
        <v>483</v>
      </c>
      <c r="E208" s="31" t="s">
        <v>472</v>
      </c>
      <c r="F208" s="31" t="str">
        <f>IF(H208=1,INDEX('Match Results'!$G$6:$G$185,MATCH(A208,'Match Results'!$A$6:$A$185,0)),INDEX('Match Results'!$H$6:$H$185,MATCH(A208,'Match Results'!$A$6:$A$185,0)))</f>
        <v>B2</v>
      </c>
      <c r="G208" s="31" t="str">
        <f>IF(H208=1,INDEX('Match Results'!$H$6:$H$185,MATCH(A208,'Match Results'!$A$6:$A$185,0)),INDEX('Match Results'!$G$6:$G$185,MATCH(A208,'Match Results'!$A$6:$A$185,0)))</f>
        <v>B3</v>
      </c>
      <c r="H208" s="31">
        <v>1</v>
      </c>
      <c r="I208" s="31">
        <v>1</v>
      </c>
      <c r="J208" s="32"/>
      <c r="K208" s="31" t="str">
        <f>IF(J208="","",IFERROR(INDEX('Team Rosters'!$C$6:$C$205,MATCH(J208,'Team Rosters'!$B$6:$B$205,0)),"CODE NOT FOUND"))</f>
        <v/>
      </c>
      <c r="L208" s="31" t="str">
        <f t="shared" si="9"/>
        <v/>
      </c>
      <c r="M208" s="31" t="str">
        <f>IF(OR(J208="",C208&lt;&gt;"League",L208&lt;&gt;"VALID"),"",COUNTIFS($J$6:J208,J208,$G$6:G208,G208,$C$6:C208,"League"))</f>
        <v/>
      </c>
      <c r="N208" s="31" t="str">
        <f t="shared" si="10"/>
        <v/>
      </c>
      <c r="O208" s="37" t="str">
        <f t="shared" si="11"/>
        <v/>
      </c>
    </row>
    <row r="209" spans="1:15" ht="15">
      <c r="A209" s="30">
        <v>44</v>
      </c>
      <c r="B209" s="31" t="s">
        <v>495</v>
      </c>
      <c r="C209" s="31" t="s">
        <v>473</v>
      </c>
      <c r="D209" s="31" t="s">
        <v>483</v>
      </c>
      <c r="E209" s="31" t="s">
        <v>472</v>
      </c>
      <c r="F209" s="31" t="str">
        <f>IF(H209=1,INDEX('Match Results'!$G$6:$G$185,MATCH(A209,'Match Results'!$A$6:$A$185,0)),INDEX('Match Results'!$H$6:$H$185,MATCH(A209,'Match Results'!$A$6:$A$185,0)))</f>
        <v>B2</v>
      </c>
      <c r="G209" s="31" t="str">
        <f>IF(H209=1,INDEX('Match Results'!$H$6:$H$185,MATCH(A209,'Match Results'!$A$6:$A$185,0)),INDEX('Match Results'!$G$6:$G$185,MATCH(A209,'Match Results'!$A$6:$A$185,0)))</f>
        <v>B3</v>
      </c>
      <c r="H209" s="31">
        <v>1</v>
      </c>
      <c r="I209" s="31">
        <v>2</v>
      </c>
      <c r="J209" s="32"/>
      <c r="K209" s="31" t="str">
        <f>IF(J209="","",IFERROR(INDEX('Team Rosters'!$C$6:$C$205,MATCH(J209,'Team Rosters'!$B$6:$B$205,0)),"CODE NOT FOUND"))</f>
        <v/>
      </c>
      <c r="L209" s="31" t="str">
        <f t="shared" si="9"/>
        <v/>
      </c>
      <c r="M209" s="31" t="str">
        <f>IF(OR(J209="",C209&lt;&gt;"League",L209&lt;&gt;"VALID"),"",COUNTIFS($J$6:J209,J209,$G$6:G209,G209,$C$6:C209,"League"))</f>
        <v/>
      </c>
      <c r="N209" s="31" t="str">
        <f t="shared" si="10"/>
        <v/>
      </c>
      <c r="O209" s="37" t="str">
        <f t="shared" si="11"/>
        <v/>
      </c>
    </row>
    <row r="210" spans="1:15" ht="15">
      <c r="A210" s="30">
        <v>44</v>
      </c>
      <c r="B210" s="31" t="s">
        <v>495</v>
      </c>
      <c r="C210" s="31" t="s">
        <v>473</v>
      </c>
      <c r="D210" s="31" t="s">
        <v>483</v>
      </c>
      <c r="E210" s="31" t="s">
        <v>472</v>
      </c>
      <c r="F210" s="31" t="str">
        <f>IF(H210=1,INDEX('Match Results'!$G$6:$G$185,MATCH(A210,'Match Results'!$A$6:$A$185,0)),INDEX('Match Results'!$H$6:$H$185,MATCH(A210,'Match Results'!$A$6:$A$185,0)))</f>
        <v>B3</v>
      </c>
      <c r="G210" s="31" t="str">
        <f>IF(H210=1,INDEX('Match Results'!$H$6:$H$185,MATCH(A210,'Match Results'!$A$6:$A$185,0)),INDEX('Match Results'!$G$6:$G$185,MATCH(A210,'Match Results'!$A$6:$A$185,0)))</f>
        <v>B2</v>
      </c>
      <c r="H210" s="31">
        <v>2</v>
      </c>
      <c r="I210" s="31">
        <v>3</v>
      </c>
      <c r="J210" s="32"/>
      <c r="K210" s="31" t="str">
        <f>IF(J210="","",IFERROR(INDEX('Team Rosters'!$C$6:$C$205,MATCH(J210,'Team Rosters'!$B$6:$B$205,0)),"CODE NOT FOUND"))</f>
        <v/>
      </c>
      <c r="L210" s="31" t="str">
        <f t="shared" si="9"/>
        <v/>
      </c>
      <c r="M210" s="31" t="str">
        <f>IF(OR(J210="",C210&lt;&gt;"League",L210&lt;&gt;"VALID"),"",COUNTIFS($J$6:J210,J210,$G$6:G210,G210,$C$6:C210,"League"))</f>
        <v/>
      </c>
      <c r="N210" s="31" t="str">
        <f t="shared" si="10"/>
        <v/>
      </c>
      <c r="O210" s="37" t="str">
        <f t="shared" si="11"/>
        <v/>
      </c>
    </row>
    <row r="211" spans="1:15" ht="15">
      <c r="A211" s="30">
        <v>44</v>
      </c>
      <c r="B211" s="31" t="s">
        <v>495</v>
      </c>
      <c r="C211" s="31" t="s">
        <v>473</v>
      </c>
      <c r="D211" s="31" t="s">
        <v>483</v>
      </c>
      <c r="E211" s="31" t="s">
        <v>472</v>
      </c>
      <c r="F211" s="31" t="str">
        <f>IF(H211=1,INDEX('Match Results'!$G$6:$G$185,MATCH(A211,'Match Results'!$A$6:$A$185,0)),INDEX('Match Results'!$H$6:$H$185,MATCH(A211,'Match Results'!$A$6:$A$185,0)))</f>
        <v>B3</v>
      </c>
      <c r="G211" s="31" t="str">
        <f>IF(H211=1,INDEX('Match Results'!$H$6:$H$185,MATCH(A211,'Match Results'!$A$6:$A$185,0)),INDEX('Match Results'!$G$6:$G$185,MATCH(A211,'Match Results'!$A$6:$A$185,0)))</f>
        <v>B2</v>
      </c>
      <c r="H211" s="31">
        <v>2</v>
      </c>
      <c r="I211" s="31">
        <v>4</v>
      </c>
      <c r="J211" s="32"/>
      <c r="K211" s="31" t="str">
        <f>IF(J211="","",IFERROR(INDEX('Team Rosters'!$C$6:$C$205,MATCH(J211,'Team Rosters'!$B$6:$B$205,0)),"CODE NOT FOUND"))</f>
        <v/>
      </c>
      <c r="L211" s="31" t="str">
        <f t="shared" si="9"/>
        <v/>
      </c>
      <c r="M211" s="31" t="str">
        <f>IF(OR(J211="",C211&lt;&gt;"League",L211&lt;&gt;"VALID"),"",COUNTIFS($J$6:J211,J211,$G$6:G211,G211,$C$6:C211,"League"))</f>
        <v/>
      </c>
      <c r="N211" s="31" t="str">
        <f t="shared" si="10"/>
        <v/>
      </c>
      <c r="O211" s="37" t="str">
        <f t="shared" si="11"/>
        <v/>
      </c>
    </row>
    <row r="212" spans="1:15" ht="15">
      <c r="A212" s="30">
        <v>45</v>
      </c>
      <c r="B212" s="31" t="s">
        <v>495</v>
      </c>
      <c r="C212" s="31" t="s">
        <v>473</v>
      </c>
      <c r="D212" s="31" t="s">
        <v>486</v>
      </c>
      <c r="E212" s="31" t="s">
        <v>472</v>
      </c>
      <c r="F212" s="31" t="str">
        <f>IF(H212=1,INDEX('Match Results'!$G$6:$G$185,MATCH(A212,'Match Results'!$A$6:$A$185,0)),INDEX('Match Results'!$H$6:$H$185,MATCH(A212,'Match Results'!$A$6:$A$185,0)))</f>
        <v>A2</v>
      </c>
      <c r="G212" s="31" t="str">
        <f>IF(H212=1,INDEX('Match Results'!$H$6:$H$185,MATCH(A212,'Match Results'!$A$6:$A$185,0)),INDEX('Match Results'!$G$6:$G$185,MATCH(A212,'Match Results'!$A$6:$A$185,0)))</f>
        <v>A3</v>
      </c>
      <c r="H212" s="31">
        <v>1</v>
      </c>
      <c r="I212" s="31">
        <v>1</v>
      </c>
      <c r="J212" s="32"/>
      <c r="K212" s="31" t="str">
        <f>IF(J212="","",IFERROR(INDEX('Team Rosters'!$C$6:$C$205,MATCH(J212,'Team Rosters'!$B$6:$B$205,0)),"CODE NOT FOUND"))</f>
        <v/>
      </c>
      <c r="L212" s="31" t="str">
        <f t="shared" si="9"/>
        <v/>
      </c>
      <c r="M212" s="31" t="str">
        <f>IF(OR(J212="",C212&lt;&gt;"League",L212&lt;&gt;"VALID"),"",COUNTIFS($J$6:J212,J212,$G$6:G212,G212,$C$6:C212,"League"))</f>
        <v/>
      </c>
      <c r="N212" s="31" t="str">
        <f t="shared" si="10"/>
        <v/>
      </c>
      <c r="O212" s="37" t="str">
        <f t="shared" si="11"/>
        <v/>
      </c>
    </row>
    <row r="213" spans="1:15" ht="15">
      <c r="A213" s="30">
        <v>45</v>
      </c>
      <c r="B213" s="31" t="s">
        <v>495</v>
      </c>
      <c r="C213" s="31" t="s">
        <v>473</v>
      </c>
      <c r="D213" s="31" t="s">
        <v>486</v>
      </c>
      <c r="E213" s="31" t="s">
        <v>472</v>
      </c>
      <c r="F213" s="31" t="str">
        <f>IF(H213=1,INDEX('Match Results'!$G$6:$G$185,MATCH(A213,'Match Results'!$A$6:$A$185,0)),INDEX('Match Results'!$H$6:$H$185,MATCH(A213,'Match Results'!$A$6:$A$185,0)))</f>
        <v>A2</v>
      </c>
      <c r="G213" s="31" t="str">
        <f>IF(H213=1,INDEX('Match Results'!$H$6:$H$185,MATCH(A213,'Match Results'!$A$6:$A$185,0)),INDEX('Match Results'!$G$6:$G$185,MATCH(A213,'Match Results'!$A$6:$A$185,0)))</f>
        <v>A3</v>
      </c>
      <c r="H213" s="31">
        <v>1</v>
      </c>
      <c r="I213" s="31">
        <v>2</v>
      </c>
      <c r="J213" s="32"/>
      <c r="K213" s="31" t="str">
        <f>IF(J213="","",IFERROR(INDEX('Team Rosters'!$C$6:$C$205,MATCH(J213,'Team Rosters'!$B$6:$B$205,0)),"CODE NOT FOUND"))</f>
        <v/>
      </c>
      <c r="L213" s="31" t="str">
        <f t="shared" si="9"/>
        <v/>
      </c>
      <c r="M213" s="31" t="str">
        <f>IF(OR(J213="",C213&lt;&gt;"League",L213&lt;&gt;"VALID"),"",COUNTIFS($J$6:J213,J213,$G$6:G213,G213,$C$6:C213,"League"))</f>
        <v/>
      </c>
      <c r="N213" s="31" t="str">
        <f t="shared" si="10"/>
        <v/>
      </c>
      <c r="O213" s="37" t="str">
        <f t="shared" si="11"/>
        <v/>
      </c>
    </row>
    <row r="214" spans="1:15" ht="15">
      <c r="A214" s="30">
        <v>45</v>
      </c>
      <c r="B214" s="31" t="s">
        <v>495</v>
      </c>
      <c r="C214" s="31" t="s">
        <v>473</v>
      </c>
      <c r="D214" s="31" t="s">
        <v>486</v>
      </c>
      <c r="E214" s="31" t="s">
        <v>472</v>
      </c>
      <c r="F214" s="31" t="str">
        <f>IF(H214=1,INDEX('Match Results'!$G$6:$G$185,MATCH(A214,'Match Results'!$A$6:$A$185,0)),INDEX('Match Results'!$H$6:$H$185,MATCH(A214,'Match Results'!$A$6:$A$185,0)))</f>
        <v>A3</v>
      </c>
      <c r="G214" s="31" t="str">
        <f>IF(H214=1,INDEX('Match Results'!$H$6:$H$185,MATCH(A214,'Match Results'!$A$6:$A$185,0)),INDEX('Match Results'!$G$6:$G$185,MATCH(A214,'Match Results'!$A$6:$A$185,0)))</f>
        <v>A2</v>
      </c>
      <c r="H214" s="31">
        <v>2</v>
      </c>
      <c r="I214" s="31">
        <v>3</v>
      </c>
      <c r="J214" s="32"/>
      <c r="K214" s="31" t="str">
        <f>IF(J214="","",IFERROR(INDEX('Team Rosters'!$C$6:$C$205,MATCH(J214,'Team Rosters'!$B$6:$B$205,0)),"CODE NOT FOUND"))</f>
        <v/>
      </c>
      <c r="L214" s="31" t="str">
        <f t="shared" si="9"/>
        <v/>
      </c>
      <c r="M214" s="31" t="str">
        <f>IF(OR(J214="",C214&lt;&gt;"League",L214&lt;&gt;"VALID"),"",COUNTIFS($J$6:J214,J214,$G$6:G214,G214,$C$6:C214,"League"))</f>
        <v/>
      </c>
      <c r="N214" s="31" t="str">
        <f t="shared" si="10"/>
        <v/>
      </c>
      <c r="O214" s="37" t="str">
        <f t="shared" si="11"/>
        <v/>
      </c>
    </row>
    <row r="215" spans="1:15" ht="15">
      <c r="A215" s="30">
        <v>45</v>
      </c>
      <c r="B215" s="31" t="s">
        <v>495</v>
      </c>
      <c r="C215" s="31" t="s">
        <v>473</v>
      </c>
      <c r="D215" s="31" t="s">
        <v>486</v>
      </c>
      <c r="E215" s="31" t="s">
        <v>472</v>
      </c>
      <c r="F215" s="31" t="str">
        <f>IF(H215=1,INDEX('Match Results'!$G$6:$G$185,MATCH(A215,'Match Results'!$A$6:$A$185,0)),INDEX('Match Results'!$H$6:$H$185,MATCH(A215,'Match Results'!$A$6:$A$185,0)))</f>
        <v>A3</v>
      </c>
      <c r="G215" s="31" t="str">
        <f>IF(H215=1,INDEX('Match Results'!$H$6:$H$185,MATCH(A215,'Match Results'!$A$6:$A$185,0)),INDEX('Match Results'!$G$6:$G$185,MATCH(A215,'Match Results'!$A$6:$A$185,0)))</f>
        <v>A2</v>
      </c>
      <c r="H215" s="31">
        <v>2</v>
      </c>
      <c r="I215" s="31">
        <v>4</v>
      </c>
      <c r="J215" s="32"/>
      <c r="K215" s="31" t="str">
        <f>IF(J215="","",IFERROR(INDEX('Team Rosters'!$C$6:$C$205,MATCH(J215,'Team Rosters'!$B$6:$B$205,0)),"CODE NOT FOUND"))</f>
        <v/>
      </c>
      <c r="L215" s="31" t="str">
        <f t="shared" si="9"/>
        <v/>
      </c>
      <c r="M215" s="31" t="str">
        <f>IF(OR(J215="",C215&lt;&gt;"League",L215&lt;&gt;"VALID"),"",COUNTIFS($J$6:J215,J215,$G$6:G215,G215,$C$6:C215,"League"))</f>
        <v/>
      </c>
      <c r="N215" s="31" t="str">
        <f t="shared" si="10"/>
        <v/>
      </c>
      <c r="O215" s="37" t="str">
        <f t="shared" si="11"/>
        <v/>
      </c>
    </row>
    <row r="216" spans="1:15" ht="15">
      <c r="A216" s="30">
        <v>46</v>
      </c>
      <c r="B216" s="31" t="s">
        <v>495</v>
      </c>
      <c r="C216" s="31" t="s">
        <v>473</v>
      </c>
      <c r="D216" s="31" t="s">
        <v>486</v>
      </c>
      <c r="E216" s="31" t="s">
        <v>475</v>
      </c>
      <c r="F216" s="31" t="str">
        <f>IF(H216=1,INDEX('Match Results'!$G$6:$G$185,MATCH(A216,'Match Results'!$A$6:$A$185,0)),INDEX('Match Results'!$H$6:$H$185,MATCH(A216,'Match Results'!$A$6:$A$185,0)))</f>
        <v>B1</v>
      </c>
      <c r="G216" s="31" t="str">
        <f>IF(H216=1,INDEX('Match Results'!$H$6:$H$185,MATCH(A216,'Match Results'!$A$6:$A$185,0)),INDEX('Match Results'!$G$6:$G$185,MATCH(A216,'Match Results'!$A$6:$A$185,0)))</f>
        <v>B2</v>
      </c>
      <c r="H216" s="31">
        <v>1</v>
      </c>
      <c r="I216" s="31">
        <v>1</v>
      </c>
      <c r="J216" s="32"/>
      <c r="K216" s="31" t="str">
        <f>IF(J216="","",IFERROR(INDEX('Team Rosters'!$C$6:$C$205,MATCH(J216,'Team Rosters'!$B$6:$B$205,0)),"CODE NOT FOUND"))</f>
        <v/>
      </c>
      <c r="L216" s="31" t="str">
        <f t="shared" si="9"/>
        <v/>
      </c>
      <c r="M216" s="31" t="str">
        <f>IF(OR(J216="",C216&lt;&gt;"League",L216&lt;&gt;"VALID"),"",COUNTIFS($J$6:J216,J216,$G$6:G216,G216,$C$6:C216,"League"))</f>
        <v/>
      </c>
      <c r="N216" s="31" t="str">
        <f t="shared" si="10"/>
        <v/>
      </c>
      <c r="O216" s="37" t="str">
        <f t="shared" si="11"/>
        <v/>
      </c>
    </row>
    <row r="217" spans="1:15" ht="15">
      <c r="A217" s="30">
        <v>46</v>
      </c>
      <c r="B217" s="31" t="s">
        <v>495</v>
      </c>
      <c r="C217" s="31" t="s">
        <v>473</v>
      </c>
      <c r="D217" s="31" t="s">
        <v>486</v>
      </c>
      <c r="E217" s="31" t="s">
        <v>475</v>
      </c>
      <c r="F217" s="31" t="str">
        <f>IF(H217=1,INDEX('Match Results'!$G$6:$G$185,MATCH(A217,'Match Results'!$A$6:$A$185,0)),INDEX('Match Results'!$H$6:$H$185,MATCH(A217,'Match Results'!$A$6:$A$185,0)))</f>
        <v>B1</v>
      </c>
      <c r="G217" s="31" t="str">
        <f>IF(H217=1,INDEX('Match Results'!$H$6:$H$185,MATCH(A217,'Match Results'!$A$6:$A$185,0)),INDEX('Match Results'!$G$6:$G$185,MATCH(A217,'Match Results'!$A$6:$A$185,0)))</f>
        <v>B2</v>
      </c>
      <c r="H217" s="31">
        <v>1</v>
      </c>
      <c r="I217" s="31">
        <v>2</v>
      </c>
      <c r="J217" s="32"/>
      <c r="K217" s="31" t="str">
        <f>IF(J217="","",IFERROR(INDEX('Team Rosters'!$C$6:$C$205,MATCH(J217,'Team Rosters'!$B$6:$B$205,0)),"CODE NOT FOUND"))</f>
        <v/>
      </c>
      <c r="L217" s="31" t="str">
        <f t="shared" si="9"/>
        <v/>
      </c>
      <c r="M217" s="31" t="str">
        <f>IF(OR(J217="",C217&lt;&gt;"League",L217&lt;&gt;"VALID"),"",COUNTIFS($J$6:J217,J217,$G$6:G217,G217,$C$6:C217,"League"))</f>
        <v/>
      </c>
      <c r="N217" s="31" t="str">
        <f t="shared" si="10"/>
        <v/>
      </c>
      <c r="O217" s="37" t="str">
        <f t="shared" si="11"/>
        <v/>
      </c>
    </row>
    <row r="218" spans="1:15" ht="15">
      <c r="A218" s="30">
        <v>46</v>
      </c>
      <c r="B218" s="31" t="s">
        <v>495</v>
      </c>
      <c r="C218" s="31" t="s">
        <v>473</v>
      </c>
      <c r="D218" s="31" t="s">
        <v>486</v>
      </c>
      <c r="E218" s="31" t="s">
        <v>475</v>
      </c>
      <c r="F218" s="31" t="str">
        <f>IF(H218=1,INDEX('Match Results'!$G$6:$G$185,MATCH(A218,'Match Results'!$A$6:$A$185,0)),INDEX('Match Results'!$H$6:$H$185,MATCH(A218,'Match Results'!$A$6:$A$185,0)))</f>
        <v>B2</v>
      </c>
      <c r="G218" s="31" t="str">
        <f>IF(H218=1,INDEX('Match Results'!$H$6:$H$185,MATCH(A218,'Match Results'!$A$6:$A$185,0)),INDEX('Match Results'!$G$6:$G$185,MATCH(A218,'Match Results'!$A$6:$A$185,0)))</f>
        <v>B1</v>
      </c>
      <c r="H218" s="31">
        <v>2</v>
      </c>
      <c r="I218" s="31">
        <v>3</v>
      </c>
      <c r="J218" s="32"/>
      <c r="K218" s="31" t="str">
        <f>IF(J218="","",IFERROR(INDEX('Team Rosters'!$C$6:$C$205,MATCH(J218,'Team Rosters'!$B$6:$B$205,0)),"CODE NOT FOUND"))</f>
        <v/>
      </c>
      <c r="L218" s="31" t="str">
        <f t="shared" si="9"/>
        <v/>
      </c>
      <c r="M218" s="31" t="str">
        <f>IF(OR(J218="",C218&lt;&gt;"League",L218&lt;&gt;"VALID"),"",COUNTIFS($J$6:J218,J218,$G$6:G218,G218,$C$6:C218,"League"))</f>
        <v/>
      </c>
      <c r="N218" s="31" t="str">
        <f t="shared" si="10"/>
        <v/>
      </c>
      <c r="O218" s="37" t="str">
        <f t="shared" si="11"/>
        <v/>
      </c>
    </row>
    <row r="219" spans="1:15" ht="15">
      <c r="A219" s="30">
        <v>46</v>
      </c>
      <c r="B219" s="31" t="s">
        <v>495</v>
      </c>
      <c r="C219" s="31" t="s">
        <v>473</v>
      </c>
      <c r="D219" s="31" t="s">
        <v>486</v>
      </c>
      <c r="E219" s="31" t="s">
        <v>475</v>
      </c>
      <c r="F219" s="31" t="str">
        <f>IF(H219=1,INDEX('Match Results'!$G$6:$G$185,MATCH(A219,'Match Results'!$A$6:$A$185,0)),INDEX('Match Results'!$H$6:$H$185,MATCH(A219,'Match Results'!$A$6:$A$185,0)))</f>
        <v>B2</v>
      </c>
      <c r="G219" s="31" t="str">
        <f>IF(H219=1,INDEX('Match Results'!$H$6:$H$185,MATCH(A219,'Match Results'!$A$6:$A$185,0)),INDEX('Match Results'!$G$6:$G$185,MATCH(A219,'Match Results'!$A$6:$A$185,0)))</f>
        <v>B1</v>
      </c>
      <c r="H219" s="31">
        <v>2</v>
      </c>
      <c r="I219" s="31">
        <v>4</v>
      </c>
      <c r="J219" s="32"/>
      <c r="K219" s="31" t="str">
        <f>IF(J219="","",IFERROR(INDEX('Team Rosters'!$C$6:$C$205,MATCH(J219,'Team Rosters'!$B$6:$B$205,0)),"CODE NOT FOUND"))</f>
        <v/>
      </c>
      <c r="L219" s="31" t="str">
        <f t="shared" si="9"/>
        <v/>
      </c>
      <c r="M219" s="31" t="str">
        <f>IF(OR(J219="",C219&lt;&gt;"League",L219&lt;&gt;"VALID"),"",COUNTIFS($J$6:J219,J219,$G$6:G219,G219,$C$6:C219,"League"))</f>
        <v/>
      </c>
      <c r="N219" s="31" t="str">
        <f t="shared" si="10"/>
        <v/>
      </c>
      <c r="O219" s="37" t="str">
        <f t="shared" si="11"/>
        <v/>
      </c>
    </row>
    <row r="220" spans="1:15" ht="15">
      <c r="A220" s="30">
        <v>47</v>
      </c>
      <c r="B220" s="31" t="s">
        <v>495</v>
      </c>
      <c r="C220" s="31" t="s">
        <v>473</v>
      </c>
      <c r="D220" s="31" t="s">
        <v>486</v>
      </c>
      <c r="E220" s="31" t="s">
        <v>477</v>
      </c>
      <c r="F220" s="31" t="str">
        <f>IF(H220=1,INDEX('Match Results'!$G$6:$G$185,MATCH(A220,'Match Results'!$A$6:$A$185,0)),INDEX('Match Results'!$H$6:$H$185,MATCH(A220,'Match Results'!$A$6:$A$185,0)))</f>
        <v>B3</v>
      </c>
      <c r="G220" s="31" t="str">
        <f>IF(H220=1,INDEX('Match Results'!$H$6:$H$185,MATCH(A220,'Match Results'!$A$6:$A$185,0)),INDEX('Match Results'!$G$6:$G$185,MATCH(A220,'Match Results'!$A$6:$A$185,0)))</f>
        <v>B4</v>
      </c>
      <c r="H220" s="31">
        <v>1</v>
      </c>
      <c r="I220" s="31">
        <v>1</v>
      </c>
      <c r="J220" s="32"/>
      <c r="K220" s="31" t="str">
        <f>IF(J220="","",IFERROR(INDEX('Team Rosters'!$C$6:$C$205,MATCH(J220,'Team Rosters'!$B$6:$B$205,0)),"CODE NOT FOUND"))</f>
        <v/>
      </c>
      <c r="L220" s="31" t="str">
        <f t="shared" si="9"/>
        <v/>
      </c>
      <c r="M220" s="31" t="str">
        <f>IF(OR(J220="",C220&lt;&gt;"League",L220&lt;&gt;"VALID"),"",COUNTIFS($J$6:J220,J220,$G$6:G220,G220,$C$6:C220,"League"))</f>
        <v/>
      </c>
      <c r="N220" s="31" t="str">
        <f t="shared" si="10"/>
        <v/>
      </c>
      <c r="O220" s="37" t="str">
        <f t="shared" si="11"/>
        <v/>
      </c>
    </row>
    <row r="221" spans="1:15" ht="15">
      <c r="A221" s="30">
        <v>47</v>
      </c>
      <c r="B221" s="31" t="s">
        <v>495</v>
      </c>
      <c r="C221" s="31" t="s">
        <v>473</v>
      </c>
      <c r="D221" s="31" t="s">
        <v>486</v>
      </c>
      <c r="E221" s="31" t="s">
        <v>477</v>
      </c>
      <c r="F221" s="31" t="str">
        <f>IF(H221=1,INDEX('Match Results'!$G$6:$G$185,MATCH(A221,'Match Results'!$A$6:$A$185,0)),INDEX('Match Results'!$H$6:$H$185,MATCH(A221,'Match Results'!$A$6:$A$185,0)))</f>
        <v>B3</v>
      </c>
      <c r="G221" s="31" t="str">
        <f>IF(H221=1,INDEX('Match Results'!$H$6:$H$185,MATCH(A221,'Match Results'!$A$6:$A$185,0)),INDEX('Match Results'!$G$6:$G$185,MATCH(A221,'Match Results'!$A$6:$A$185,0)))</f>
        <v>B4</v>
      </c>
      <c r="H221" s="31">
        <v>1</v>
      </c>
      <c r="I221" s="31">
        <v>2</v>
      </c>
      <c r="J221" s="32"/>
      <c r="K221" s="31" t="str">
        <f>IF(J221="","",IFERROR(INDEX('Team Rosters'!$C$6:$C$205,MATCH(J221,'Team Rosters'!$B$6:$B$205,0)),"CODE NOT FOUND"))</f>
        <v/>
      </c>
      <c r="L221" s="31" t="str">
        <f t="shared" si="9"/>
        <v/>
      </c>
      <c r="M221" s="31" t="str">
        <f>IF(OR(J221="",C221&lt;&gt;"League",L221&lt;&gt;"VALID"),"",COUNTIFS($J$6:J221,J221,$G$6:G221,G221,$C$6:C221,"League"))</f>
        <v/>
      </c>
      <c r="N221" s="31" t="str">
        <f t="shared" si="10"/>
        <v/>
      </c>
      <c r="O221" s="37" t="str">
        <f t="shared" si="11"/>
        <v/>
      </c>
    </row>
    <row r="222" spans="1:15" ht="15">
      <c r="A222" s="30">
        <v>47</v>
      </c>
      <c r="B222" s="31" t="s">
        <v>495</v>
      </c>
      <c r="C222" s="31" t="s">
        <v>473</v>
      </c>
      <c r="D222" s="31" t="s">
        <v>486</v>
      </c>
      <c r="E222" s="31" t="s">
        <v>477</v>
      </c>
      <c r="F222" s="31" t="str">
        <f>IF(H222=1,INDEX('Match Results'!$G$6:$G$185,MATCH(A222,'Match Results'!$A$6:$A$185,0)),INDEX('Match Results'!$H$6:$H$185,MATCH(A222,'Match Results'!$A$6:$A$185,0)))</f>
        <v>B4</v>
      </c>
      <c r="G222" s="31" t="str">
        <f>IF(H222=1,INDEX('Match Results'!$H$6:$H$185,MATCH(A222,'Match Results'!$A$6:$A$185,0)),INDEX('Match Results'!$G$6:$G$185,MATCH(A222,'Match Results'!$A$6:$A$185,0)))</f>
        <v>B3</v>
      </c>
      <c r="H222" s="31">
        <v>2</v>
      </c>
      <c r="I222" s="31">
        <v>3</v>
      </c>
      <c r="J222" s="32"/>
      <c r="K222" s="31" t="str">
        <f>IF(J222="","",IFERROR(INDEX('Team Rosters'!$C$6:$C$205,MATCH(J222,'Team Rosters'!$B$6:$B$205,0)),"CODE NOT FOUND"))</f>
        <v/>
      </c>
      <c r="L222" s="31" t="str">
        <f t="shared" si="9"/>
        <v/>
      </c>
      <c r="M222" s="31" t="str">
        <f>IF(OR(J222="",C222&lt;&gt;"League",L222&lt;&gt;"VALID"),"",COUNTIFS($J$6:J222,J222,$G$6:G222,G222,$C$6:C222,"League"))</f>
        <v/>
      </c>
      <c r="N222" s="31" t="str">
        <f t="shared" si="10"/>
        <v/>
      </c>
      <c r="O222" s="37" t="str">
        <f t="shared" si="11"/>
        <v/>
      </c>
    </row>
    <row r="223" spans="1:15" ht="15">
      <c r="A223" s="30">
        <v>47</v>
      </c>
      <c r="B223" s="31" t="s">
        <v>495</v>
      </c>
      <c r="C223" s="31" t="s">
        <v>473</v>
      </c>
      <c r="D223" s="31" t="s">
        <v>486</v>
      </c>
      <c r="E223" s="31" t="s">
        <v>477</v>
      </c>
      <c r="F223" s="31" t="str">
        <f>IF(H223=1,INDEX('Match Results'!$G$6:$G$185,MATCH(A223,'Match Results'!$A$6:$A$185,0)),INDEX('Match Results'!$H$6:$H$185,MATCH(A223,'Match Results'!$A$6:$A$185,0)))</f>
        <v>B4</v>
      </c>
      <c r="G223" s="31" t="str">
        <f>IF(H223=1,INDEX('Match Results'!$H$6:$H$185,MATCH(A223,'Match Results'!$A$6:$A$185,0)),INDEX('Match Results'!$G$6:$G$185,MATCH(A223,'Match Results'!$A$6:$A$185,0)))</f>
        <v>B3</v>
      </c>
      <c r="H223" s="31">
        <v>2</v>
      </c>
      <c r="I223" s="31">
        <v>4</v>
      </c>
      <c r="J223" s="32"/>
      <c r="K223" s="31" t="str">
        <f>IF(J223="","",IFERROR(INDEX('Team Rosters'!$C$6:$C$205,MATCH(J223,'Team Rosters'!$B$6:$B$205,0)),"CODE NOT FOUND"))</f>
        <v/>
      </c>
      <c r="L223" s="31" t="str">
        <f t="shared" si="9"/>
        <v/>
      </c>
      <c r="M223" s="31" t="str">
        <f>IF(OR(J223="",C223&lt;&gt;"League",L223&lt;&gt;"VALID"),"",COUNTIFS($J$6:J223,J223,$G$6:G223,G223,$C$6:C223,"League"))</f>
        <v/>
      </c>
      <c r="N223" s="31" t="str">
        <f t="shared" si="10"/>
        <v/>
      </c>
      <c r="O223" s="37" t="str">
        <f t="shared" si="11"/>
        <v/>
      </c>
    </row>
    <row r="224" spans="1:15" ht="15">
      <c r="A224" s="30">
        <v>48</v>
      </c>
      <c r="B224" s="31" t="s">
        <v>495</v>
      </c>
      <c r="C224" s="31" t="s">
        <v>473</v>
      </c>
      <c r="D224" s="31" t="s">
        <v>490</v>
      </c>
      <c r="E224" s="31" t="s">
        <v>491</v>
      </c>
      <c r="F224" s="31" t="str">
        <f>IF(H224=1,INDEX('Match Results'!$G$6:$G$185,MATCH(A224,'Match Results'!$A$6:$A$185,0)),INDEX('Match Results'!$H$6:$H$185,MATCH(A224,'Match Results'!$A$6:$A$185,0)))</f>
        <v>A2</v>
      </c>
      <c r="G224" s="31" t="str">
        <f>IF(H224=1,INDEX('Match Results'!$H$6:$H$185,MATCH(A224,'Match Results'!$A$6:$A$185,0)),INDEX('Match Results'!$G$6:$G$185,MATCH(A224,'Match Results'!$A$6:$A$185,0)))</f>
        <v>A4</v>
      </c>
      <c r="H224" s="31">
        <v>1</v>
      </c>
      <c r="I224" s="31">
        <v>1</v>
      </c>
      <c r="J224" s="32"/>
      <c r="K224" s="31" t="str">
        <f>IF(J224="","",IFERROR(INDEX('Team Rosters'!$C$6:$C$205,MATCH(J224,'Team Rosters'!$B$6:$B$205,0)),"CODE NOT FOUND"))</f>
        <v/>
      </c>
      <c r="L224" s="31" t="str">
        <f t="shared" si="9"/>
        <v/>
      </c>
      <c r="M224" s="31" t="str">
        <f>IF(OR(J224="",C224&lt;&gt;"League",L224&lt;&gt;"VALID"),"",COUNTIFS($J$6:J224,J224,$G$6:G224,G224,$C$6:C224,"League"))</f>
        <v/>
      </c>
      <c r="N224" s="31" t="str">
        <f t="shared" si="10"/>
        <v/>
      </c>
      <c r="O224" s="37" t="str">
        <f t="shared" si="11"/>
        <v/>
      </c>
    </row>
    <row r="225" spans="1:15" ht="15">
      <c r="A225" s="30">
        <v>48</v>
      </c>
      <c r="B225" s="31" t="s">
        <v>495</v>
      </c>
      <c r="C225" s="31" t="s">
        <v>473</v>
      </c>
      <c r="D225" s="31" t="s">
        <v>490</v>
      </c>
      <c r="E225" s="31" t="s">
        <v>491</v>
      </c>
      <c r="F225" s="31" t="str">
        <f>IF(H225=1,INDEX('Match Results'!$G$6:$G$185,MATCH(A225,'Match Results'!$A$6:$A$185,0)),INDEX('Match Results'!$H$6:$H$185,MATCH(A225,'Match Results'!$A$6:$A$185,0)))</f>
        <v>A2</v>
      </c>
      <c r="G225" s="31" t="str">
        <f>IF(H225=1,INDEX('Match Results'!$H$6:$H$185,MATCH(A225,'Match Results'!$A$6:$A$185,0)),INDEX('Match Results'!$G$6:$G$185,MATCH(A225,'Match Results'!$A$6:$A$185,0)))</f>
        <v>A4</v>
      </c>
      <c r="H225" s="31">
        <v>1</v>
      </c>
      <c r="I225" s="31">
        <v>2</v>
      </c>
      <c r="J225" s="32"/>
      <c r="K225" s="31" t="str">
        <f>IF(J225="","",IFERROR(INDEX('Team Rosters'!$C$6:$C$205,MATCH(J225,'Team Rosters'!$B$6:$B$205,0)),"CODE NOT FOUND"))</f>
        <v/>
      </c>
      <c r="L225" s="31" t="str">
        <f t="shared" si="9"/>
        <v/>
      </c>
      <c r="M225" s="31" t="str">
        <f>IF(OR(J225="",C225&lt;&gt;"League",L225&lt;&gt;"VALID"),"",COUNTIFS($J$6:J225,J225,$G$6:G225,G225,$C$6:C225,"League"))</f>
        <v/>
      </c>
      <c r="N225" s="31" t="str">
        <f t="shared" si="10"/>
        <v/>
      </c>
      <c r="O225" s="37" t="str">
        <f t="shared" si="11"/>
        <v/>
      </c>
    </row>
    <row r="226" spans="1:15" ht="15">
      <c r="A226" s="30">
        <v>48</v>
      </c>
      <c r="B226" s="31" t="s">
        <v>495</v>
      </c>
      <c r="C226" s="31" t="s">
        <v>473</v>
      </c>
      <c r="D226" s="31" t="s">
        <v>490</v>
      </c>
      <c r="E226" s="31" t="s">
        <v>491</v>
      </c>
      <c r="F226" s="31" t="str">
        <f>IF(H226=1,INDEX('Match Results'!$G$6:$G$185,MATCH(A226,'Match Results'!$A$6:$A$185,0)),INDEX('Match Results'!$H$6:$H$185,MATCH(A226,'Match Results'!$A$6:$A$185,0)))</f>
        <v>A2</v>
      </c>
      <c r="G226" s="31" t="str">
        <f>IF(H226=1,INDEX('Match Results'!$H$6:$H$185,MATCH(A226,'Match Results'!$A$6:$A$185,0)),INDEX('Match Results'!$G$6:$G$185,MATCH(A226,'Match Results'!$A$6:$A$185,0)))</f>
        <v>A4</v>
      </c>
      <c r="H226" s="31">
        <v>1</v>
      </c>
      <c r="I226" s="31">
        <v>3</v>
      </c>
      <c r="J226" s="32"/>
      <c r="K226" s="31" t="str">
        <f>IF(J226="","",IFERROR(INDEX('Team Rosters'!$C$6:$C$205,MATCH(J226,'Team Rosters'!$B$6:$B$205,0)),"CODE NOT FOUND"))</f>
        <v/>
      </c>
      <c r="L226" s="31" t="str">
        <f t="shared" si="9"/>
        <v/>
      </c>
      <c r="M226" s="31" t="str">
        <f>IF(OR(J226="",C226&lt;&gt;"League",L226&lt;&gt;"VALID"),"",COUNTIFS($J$6:J226,J226,$G$6:G226,G226,$C$6:C226,"League"))</f>
        <v/>
      </c>
      <c r="N226" s="31" t="str">
        <f t="shared" si="10"/>
        <v/>
      </c>
      <c r="O226" s="37" t="str">
        <f t="shared" si="11"/>
        <v/>
      </c>
    </row>
    <row r="227" spans="1:15" ht="15">
      <c r="A227" s="30">
        <v>48</v>
      </c>
      <c r="B227" s="31" t="s">
        <v>495</v>
      </c>
      <c r="C227" s="31" t="s">
        <v>473</v>
      </c>
      <c r="D227" s="31" t="s">
        <v>490</v>
      </c>
      <c r="E227" s="31" t="s">
        <v>491</v>
      </c>
      <c r="F227" s="31" t="str">
        <f>IF(H227=1,INDEX('Match Results'!$G$6:$G$185,MATCH(A227,'Match Results'!$A$6:$A$185,0)),INDEX('Match Results'!$H$6:$H$185,MATCH(A227,'Match Results'!$A$6:$A$185,0)))</f>
        <v>A2</v>
      </c>
      <c r="G227" s="31" t="str">
        <f>IF(H227=1,INDEX('Match Results'!$H$6:$H$185,MATCH(A227,'Match Results'!$A$6:$A$185,0)),INDEX('Match Results'!$G$6:$G$185,MATCH(A227,'Match Results'!$A$6:$A$185,0)))</f>
        <v>A4</v>
      </c>
      <c r="H227" s="31">
        <v>1</v>
      </c>
      <c r="I227" s="31">
        <v>4</v>
      </c>
      <c r="J227" s="32"/>
      <c r="K227" s="31" t="str">
        <f>IF(J227="","",IFERROR(INDEX('Team Rosters'!$C$6:$C$205,MATCH(J227,'Team Rosters'!$B$6:$B$205,0)),"CODE NOT FOUND"))</f>
        <v/>
      </c>
      <c r="L227" s="31" t="str">
        <f t="shared" si="9"/>
        <v/>
      </c>
      <c r="M227" s="31" t="str">
        <f>IF(OR(J227="",C227&lt;&gt;"League",L227&lt;&gt;"VALID"),"",COUNTIFS($J$6:J227,J227,$G$6:G227,G227,$C$6:C227,"League"))</f>
        <v/>
      </c>
      <c r="N227" s="31" t="str">
        <f t="shared" si="10"/>
        <v/>
      </c>
      <c r="O227" s="37" t="str">
        <f t="shared" si="11"/>
        <v/>
      </c>
    </row>
    <row r="228" spans="1:15" ht="15">
      <c r="A228" s="30">
        <v>48</v>
      </c>
      <c r="B228" s="31" t="s">
        <v>495</v>
      </c>
      <c r="C228" s="31" t="s">
        <v>473</v>
      </c>
      <c r="D228" s="31" t="s">
        <v>490</v>
      </c>
      <c r="E228" s="31" t="s">
        <v>491</v>
      </c>
      <c r="F228" s="31" t="str">
        <f>IF(H228=1,INDEX('Match Results'!$G$6:$G$185,MATCH(A228,'Match Results'!$A$6:$A$185,0)),INDEX('Match Results'!$H$6:$H$185,MATCH(A228,'Match Results'!$A$6:$A$185,0)))</f>
        <v>A2</v>
      </c>
      <c r="G228" s="31" t="str">
        <f>IF(H228=1,INDEX('Match Results'!$H$6:$H$185,MATCH(A228,'Match Results'!$A$6:$A$185,0)),INDEX('Match Results'!$G$6:$G$185,MATCH(A228,'Match Results'!$A$6:$A$185,0)))</f>
        <v>A4</v>
      </c>
      <c r="H228" s="31">
        <v>1</v>
      </c>
      <c r="I228" s="31">
        <v>5</v>
      </c>
      <c r="J228" s="32"/>
      <c r="K228" s="31" t="str">
        <f>IF(J228="","",IFERROR(INDEX('Team Rosters'!$C$6:$C$205,MATCH(J228,'Team Rosters'!$B$6:$B$205,0)),"CODE NOT FOUND"))</f>
        <v/>
      </c>
      <c r="L228" s="31" t="str">
        <f t="shared" si="9"/>
        <v/>
      </c>
      <c r="M228" s="31" t="str">
        <f>IF(OR(J228="",C228&lt;&gt;"League",L228&lt;&gt;"VALID"),"",COUNTIFS($J$6:J228,J228,$G$6:G228,G228,$C$6:C228,"League"))</f>
        <v/>
      </c>
      <c r="N228" s="31" t="str">
        <f t="shared" si="10"/>
        <v/>
      </c>
      <c r="O228" s="37" t="str">
        <f t="shared" si="11"/>
        <v/>
      </c>
    </row>
    <row r="229" spans="1:15" ht="15">
      <c r="A229" s="30">
        <v>48</v>
      </c>
      <c r="B229" s="31" t="s">
        <v>495</v>
      </c>
      <c r="C229" s="31" t="s">
        <v>473</v>
      </c>
      <c r="D229" s="31" t="s">
        <v>490</v>
      </c>
      <c r="E229" s="31" t="s">
        <v>491</v>
      </c>
      <c r="F229" s="31" t="str">
        <f>IF(H229=1,INDEX('Match Results'!$G$6:$G$185,MATCH(A229,'Match Results'!$A$6:$A$185,0)),INDEX('Match Results'!$H$6:$H$185,MATCH(A229,'Match Results'!$A$6:$A$185,0)))</f>
        <v>A2</v>
      </c>
      <c r="G229" s="31" t="str">
        <f>IF(H229=1,INDEX('Match Results'!$H$6:$H$185,MATCH(A229,'Match Results'!$A$6:$A$185,0)),INDEX('Match Results'!$G$6:$G$185,MATCH(A229,'Match Results'!$A$6:$A$185,0)))</f>
        <v>A4</v>
      </c>
      <c r="H229" s="31">
        <v>1</v>
      </c>
      <c r="I229" s="31">
        <v>6</v>
      </c>
      <c r="J229" s="32"/>
      <c r="K229" s="31" t="str">
        <f>IF(J229="","",IFERROR(INDEX('Team Rosters'!$C$6:$C$205,MATCH(J229,'Team Rosters'!$B$6:$B$205,0)),"CODE NOT FOUND"))</f>
        <v/>
      </c>
      <c r="L229" s="31" t="str">
        <f t="shared" si="9"/>
        <v/>
      </c>
      <c r="M229" s="31" t="str">
        <f>IF(OR(J229="",C229&lt;&gt;"League",L229&lt;&gt;"VALID"),"",COUNTIFS($J$6:J229,J229,$G$6:G229,G229,$C$6:C229,"League"))</f>
        <v/>
      </c>
      <c r="N229" s="31" t="str">
        <f t="shared" si="10"/>
        <v/>
      </c>
      <c r="O229" s="37" t="str">
        <f t="shared" si="11"/>
        <v/>
      </c>
    </row>
    <row r="230" spans="1:15" ht="15">
      <c r="A230" s="30">
        <v>48</v>
      </c>
      <c r="B230" s="31" t="s">
        <v>495</v>
      </c>
      <c r="C230" s="31" t="s">
        <v>473</v>
      </c>
      <c r="D230" s="31" t="s">
        <v>490</v>
      </c>
      <c r="E230" s="31" t="s">
        <v>491</v>
      </c>
      <c r="F230" s="31" t="str">
        <f>IF(H230=1,INDEX('Match Results'!$G$6:$G$185,MATCH(A230,'Match Results'!$A$6:$A$185,0)),INDEX('Match Results'!$H$6:$H$185,MATCH(A230,'Match Results'!$A$6:$A$185,0)))</f>
        <v>A2</v>
      </c>
      <c r="G230" s="31" t="str">
        <f>IF(H230=1,INDEX('Match Results'!$H$6:$H$185,MATCH(A230,'Match Results'!$A$6:$A$185,0)),INDEX('Match Results'!$G$6:$G$185,MATCH(A230,'Match Results'!$A$6:$A$185,0)))</f>
        <v>A4</v>
      </c>
      <c r="H230" s="31">
        <v>1</v>
      </c>
      <c r="I230" s="31">
        <v>7</v>
      </c>
      <c r="J230" s="32"/>
      <c r="K230" s="31" t="str">
        <f>IF(J230="","",IFERROR(INDEX('Team Rosters'!$C$6:$C$205,MATCH(J230,'Team Rosters'!$B$6:$B$205,0)),"CODE NOT FOUND"))</f>
        <v/>
      </c>
      <c r="L230" s="31" t="str">
        <f t="shared" si="9"/>
        <v/>
      </c>
      <c r="M230" s="31" t="str">
        <f>IF(OR(J230="",C230&lt;&gt;"League",L230&lt;&gt;"VALID"),"",COUNTIFS($J$6:J230,J230,$G$6:G230,G230,$C$6:C230,"League"))</f>
        <v/>
      </c>
      <c r="N230" s="31" t="str">
        <f t="shared" si="10"/>
        <v/>
      </c>
      <c r="O230" s="37" t="str">
        <f t="shared" si="11"/>
        <v/>
      </c>
    </row>
    <row r="231" spans="1:15" ht="15">
      <c r="A231" s="30">
        <v>48</v>
      </c>
      <c r="B231" s="31" t="s">
        <v>495</v>
      </c>
      <c r="C231" s="31" t="s">
        <v>473</v>
      </c>
      <c r="D231" s="31" t="s">
        <v>490</v>
      </c>
      <c r="E231" s="31" t="s">
        <v>491</v>
      </c>
      <c r="F231" s="31" t="str">
        <f>IF(H231=1,INDEX('Match Results'!$G$6:$G$185,MATCH(A231,'Match Results'!$A$6:$A$185,0)),INDEX('Match Results'!$H$6:$H$185,MATCH(A231,'Match Results'!$A$6:$A$185,0)))</f>
        <v>A4</v>
      </c>
      <c r="G231" s="31" t="str">
        <f>IF(H231=1,INDEX('Match Results'!$H$6:$H$185,MATCH(A231,'Match Results'!$A$6:$A$185,0)),INDEX('Match Results'!$G$6:$G$185,MATCH(A231,'Match Results'!$A$6:$A$185,0)))</f>
        <v>A2</v>
      </c>
      <c r="H231" s="31">
        <v>2</v>
      </c>
      <c r="I231" s="31">
        <v>8</v>
      </c>
      <c r="J231" s="32"/>
      <c r="K231" s="31" t="str">
        <f>IF(J231="","",IFERROR(INDEX('Team Rosters'!$C$6:$C$205,MATCH(J231,'Team Rosters'!$B$6:$B$205,0)),"CODE NOT FOUND"))</f>
        <v/>
      </c>
      <c r="L231" s="31" t="str">
        <f t="shared" si="9"/>
        <v/>
      </c>
      <c r="M231" s="31" t="str">
        <f>IF(OR(J231="",C231&lt;&gt;"League",L231&lt;&gt;"VALID"),"",COUNTIFS($J$6:J231,J231,$G$6:G231,G231,$C$6:C231,"League"))</f>
        <v/>
      </c>
      <c r="N231" s="31" t="str">
        <f t="shared" si="10"/>
        <v/>
      </c>
      <c r="O231" s="37" t="str">
        <f t="shared" si="11"/>
        <v/>
      </c>
    </row>
    <row r="232" spans="1:15" ht="15">
      <c r="A232" s="30">
        <v>48</v>
      </c>
      <c r="B232" s="31" t="s">
        <v>495</v>
      </c>
      <c r="C232" s="31" t="s">
        <v>473</v>
      </c>
      <c r="D232" s="31" t="s">
        <v>490</v>
      </c>
      <c r="E232" s="31" t="s">
        <v>491</v>
      </c>
      <c r="F232" s="31" t="str">
        <f>IF(H232=1,INDEX('Match Results'!$G$6:$G$185,MATCH(A232,'Match Results'!$A$6:$A$185,0)),INDEX('Match Results'!$H$6:$H$185,MATCH(A232,'Match Results'!$A$6:$A$185,0)))</f>
        <v>A4</v>
      </c>
      <c r="G232" s="31" t="str">
        <f>IF(H232=1,INDEX('Match Results'!$H$6:$H$185,MATCH(A232,'Match Results'!$A$6:$A$185,0)),INDEX('Match Results'!$G$6:$G$185,MATCH(A232,'Match Results'!$A$6:$A$185,0)))</f>
        <v>A2</v>
      </c>
      <c r="H232" s="31">
        <v>2</v>
      </c>
      <c r="I232" s="31">
        <v>9</v>
      </c>
      <c r="J232" s="32"/>
      <c r="K232" s="31" t="str">
        <f>IF(J232="","",IFERROR(INDEX('Team Rosters'!$C$6:$C$205,MATCH(J232,'Team Rosters'!$B$6:$B$205,0)),"CODE NOT FOUND"))</f>
        <v/>
      </c>
      <c r="L232" s="31" t="str">
        <f t="shared" si="9"/>
        <v/>
      </c>
      <c r="M232" s="31" t="str">
        <f>IF(OR(J232="",C232&lt;&gt;"League",L232&lt;&gt;"VALID"),"",COUNTIFS($J$6:J232,J232,$G$6:G232,G232,$C$6:C232,"League"))</f>
        <v/>
      </c>
      <c r="N232" s="31" t="str">
        <f t="shared" si="10"/>
        <v/>
      </c>
      <c r="O232" s="37" t="str">
        <f t="shared" si="11"/>
        <v/>
      </c>
    </row>
    <row r="233" spans="1:15" ht="15">
      <c r="A233" s="30">
        <v>48</v>
      </c>
      <c r="B233" s="31" t="s">
        <v>495</v>
      </c>
      <c r="C233" s="31" t="s">
        <v>473</v>
      </c>
      <c r="D233" s="31" t="s">
        <v>490</v>
      </c>
      <c r="E233" s="31" t="s">
        <v>491</v>
      </c>
      <c r="F233" s="31" t="str">
        <f>IF(H233=1,INDEX('Match Results'!$G$6:$G$185,MATCH(A233,'Match Results'!$A$6:$A$185,0)),INDEX('Match Results'!$H$6:$H$185,MATCH(A233,'Match Results'!$A$6:$A$185,0)))</f>
        <v>A4</v>
      </c>
      <c r="G233" s="31" t="str">
        <f>IF(H233=1,INDEX('Match Results'!$H$6:$H$185,MATCH(A233,'Match Results'!$A$6:$A$185,0)),INDEX('Match Results'!$G$6:$G$185,MATCH(A233,'Match Results'!$A$6:$A$185,0)))</f>
        <v>A2</v>
      </c>
      <c r="H233" s="31">
        <v>2</v>
      </c>
      <c r="I233" s="31">
        <v>10</v>
      </c>
      <c r="J233" s="32"/>
      <c r="K233" s="31" t="str">
        <f>IF(J233="","",IFERROR(INDEX('Team Rosters'!$C$6:$C$205,MATCH(J233,'Team Rosters'!$B$6:$B$205,0)),"CODE NOT FOUND"))</f>
        <v/>
      </c>
      <c r="L233" s="31" t="str">
        <f t="shared" si="9"/>
        <v/>
      </c>
      <c r="M233" s="31" t="str">
        <f>IF(OR(J233="",C233&lt;&gt;"League",L233&lt;&gt;"VALID"),"",COUNTIFS($J$6:J233,J233,$G$6:G233,G233,$C$6:C233,"League"))</f>
        <v/>
      </c>
      <c r="N233" s="31" t="str">
        <f t="shared" si="10"/>
        <v/>
      </c>
      <c r="O233" s="37" t="str">
        <f t="shared" si="11"/>
        <v/>
      </c>
    </row>
    <row r="234" spans="1:15" ht="15">
      <c r="A234" s="30">
        <v>48</v>
      </c>
      <c r="B234" s="31" t="s">
        <v>495</v>
      </c>
      <c r="C234" s="31" t="s">
        <v>473</v>
      </c>
      <c r="D234" s="31" t="s">
        <v>490</v>
      </c>
      <c r="E234" s="31" t="s">
        <v>491</v>
      </c>
      <c r="F234" s="31" t="str">
        <f>IF(H234=1,INDEX('Match Results'!$G$6:$G$185,MATCH(A234,'Match Results'!$A$6:$A$185,0)),INDEX('Match Results'!$H$6:$H$185,MATCH(A234,'Match Results'!$A$6:$A$185,0)))</f>
        <v>A4</v>
      </c>
      <c r="G234" s="31" t="str">
        <f>IF(H234=1,INDEX('Match Results'!$H$6:$H$185,MATCH(A234,'Match Results'!$A$6:$A$185,0)),INDEX('Match Results'!$G$6:$G$185,MATCH(A234,'Match Results'!$A$6:$A$185,0)))</f>
        <v>A2</v>
      </c>
      <c r="H234" s="31">
        <v>2</v>
      </c>
      <c r="I234" s="31">
        <v>11</v>
      </c>
      <c r="J234" s="32"/>
      <c r="K234" s="31" t="str">
        <f>IF(J234="","",IFERROR(INDEX('Team Rosters'!$C$6:$C$205,MATCH(J234,'Team Rosters'!$B$6:$B$205,0)),"CODE NOT FOUND"))</f>
        <v/>
      </c>
      <c r="L234" s="31" t="str">
        <f t="shared" si="9"/>
        <v/>
      </c>
      <c r="M234" s="31" t="str">
        <f>IF(OR(J234="",C234&lt;&gt;"League",L234&lt;&gt;"VALID"),"",COUNTIFS($J$6:J234,J234,$G$6:G234,G234,$C$6:C234,"League"))</f>
        <v/>
      </c>
      <c r="N234" s="31" t="str">
        <f t="shared" si="10"/>
        <v/>
      </c>
      <c r="O234" s="37" t="str">
        <f t="shared" si="11"/>
        <v/>
      </c>
    </row>
    <row r="235" spans="1:15" ht="15">
      <c r="A235" s="30">
        <v>48</v>
      </c>
      <c r="B235" s="31" t="s">
        <v>495</v>
      </c>
      <c r="C235" s="31" t="s">
        <v>473</v>
      </c>
      <c r="D235" s="31" t="s">
        <v>490</v>
      </c>
      <c r="E235" s="31" t="s">
        <v>491</v>
      </c>
      <c r="F235" s="31" t="str">
        <f>IF(H235=1,INDEX('Match Results'!$G$6:$G$185,MATCH(A235,'Match Results'!$A$6:$A$185,0)),INDEX('Match Results'!$H$6:$H$185,MATCH(A235,'Match Results'!$A$6:$A$185,0)))</f>
        <v>A4</v>
      </c>
      <c r="G235" s="31" t="str">
        <f>IF(H235=1,INDEX('Match Results'!$H$6:$H$185,MATCH(A235,'Match Results'!$A$6:$A$185,0)),INDEX('Match Results'!$G$6:$G$185,MATCH(A235,'Match Results'!$A$6:$A$185,0)))</f>
        <v>A2</v>
      </c>
      <c r="H235" s="31">
        <v>2</v>
      </c>
      <c r="I235" s="31">
        <v>12</v>
      </c>
      <c r="J235" s="32"/>
      <c r="K235" s="31" t="str">
        <f>IF(J235="","",IFERROR(INDEX('Team Rosters'!$C$6:$C$205,MATCH(J235,'Team Rosters'!$B$6:$B$205,0)),"CODE NOT FOUND"))</f>
        <v/>
      </c>
      <c r="L235" s="31" t="str">
        <f t="shared" si="9"/>
        <v/>
      </c>
      <c r="M235" s="31" t="str">
        <f>IF(OR(J235="",C235&lt;&gt;"League",L235&lt;&gt;"VALID"),"",COUNTIFS($J$6:J235,J235,$G$6:G235,G235,$C$6:C235,"League"))</f>
        <v/>
      </c>
      <c r="N235" s="31" t="str">
        <f t="shared" si="10"/>
        <v/>
      </c>
      <c r="O235" s="37" t="str">
        <f t="shared" si="11"/>
        <v/>
      </c>
    </row>
    <row r="236" spans="1:15" ht="15">
      <c r="A236" s="30">
        <v>48</v>
      </c>
      <c r="B236" s="31" t="s">
        <v>495</v>
      </c>
      <c r="C236" s="31" t="s">
        <v>473</v>
      </c>
      <c r="D236" s="31" t="s">
        <v>490</v>
      </c>
      <c r="E236" s="31" t="s">
        <v>491</v>
      </c>
      <c r="F236" s="31" t="str">
        <f>IF(H236=1,INDEX('Match Results'!$G$6:$G$185,MATCH(A236,'Match Results'!$A$6:$A$185,0)),INDEX('Match Results'!$H$6:$H$185,MATCH(A236,'Match Results'!$A$6:$A$185,0)))</f>
        <v>A4</v>
      </c>
      <c r="G236" s="31" t="str">
        <f>IF(H236=1,INDEX('Match Results'!$H$6:$H$185,MATCH(A236,'Match Results'!$A$6:$A$185,0)),INDEX('Match Results'!$G$6:$G$185,MATCH(A236,'Match Results'!$A$6:$A$185,0)))</f>
        <v>A2</v>
      </c>
      <c r="H236" s="31">
        <v>2</v>
      </c>
      <c r="I236" s="31">
        <v>13</v>
      </c>
      <c r="J236" s="32"/>
      <c r="K236" s="31" t="str">
        <f>IF(J236="","",IFERROR(INDEX('Team Rosters'!$C$6:$C$205,MATCH(J236,'Team Rosters'!$B$6:$B$205,0)),"CODE NOT FOUND"))</f>
        <v/>
      </c>
      <c r="L236" s="31" t="str">
        <f t="shared" si="9"/>
        <v/>
      </c>
      <c r="M236" s="31" t="str">
        <f>IF(OR(J236="",C236&lt;&gt;"League",L236&lt;&gt;"VALID"),"",COUNTIFS($J$6:J236,J236,$G$6:G236,G236,$C$6:C236,"League"))</f>
        <v/>
      </c>
      <c r="N236" s="31" t="str">
        <f t="shared" si="10"/>
        <v/>
      </c>
      <c r="O236" s="37" t="str">
        <f t="shared" si="11"/>
        <v/>
      </c>
    </row>
    <row r="237" spans="1:15" ht="15">
      <c r="A237" s="30">
        <v>48</v>
      </c>
      <c r="B237" s="31" t="s">
        <v>495</v>
      </c>
      <c r="C237" s="31" t="s">
        <v>473</v>
      </c>
      <c r="D237" s="31" t="s">
        <v>490</v>
      </c>
      <c r="E237" s="31" t="s">
        <v>491</v>
      </c>
      <c r="F237" s="31" t="str">
        <f>IF(H237=1,INDEX('Match Results'!$G$6:$G$185,MATCH(A237,'Match Results'!$A$6:$A$185,0)),INDEX('Match Results'!$H$6:$H$185,MATCH(A237,'Match Results'!$A$6:$A$185,0)))</f>
        <v>A4</v>
      </c>
      <c r="G237" s="31" t="str">
        <f>IF(H237=1,INDEX('Match Results'!$H$6:$H$185,MATCH(A237,'Match Results'!$A$6:$A$185,0)),INDEX('Match Results'!$G$6:$G$185,MATCH(A237,'Match Results'!$A$6:$A$185,0)))</f>
        <v>A2</v>
      </c>
      <c r="H237" s="31">
        <v>2</v>
      </c>
      <c r="I237" s="31">
        <v>14</v>
      </c>
      <c r="J237" s="32"/>
      <c r="K237" s="31" t="str">
        <f>IF(J237="","",IFERROR(INDEX('Team Rosters'!$C$6:$C$205,MATCH(J237,'Team Rosters'!$B$6:$B$205,0)),"CODE NOT FOUND"))</f>
        <v/>
      </c>
      <c r="L237" s="31" t="str">
        <f t="shared" si="9"/>
        <v/>
      </c>
      <c r="M237" s="31" t="str">
        <f>IF(OR(J237="",C237&lt;&gt;"League",L237&lt;&gt;"VALID"),"",COUNTIFS($J$6:J237,J237,$G$6:G237,G237,$C$6:C237,"League"))</f>
        <v/>
      </c>
      <c r="N237" s="31" t="str">
        <f t="shared" si="10"/>
        <v/>
      </c>
      <c r="O237" s="37" t="str">
        <f t="shared" si="11"/>
        <v/>
      </c>
    </row>
    <row r="238" spans="1:15" ht="15">
      <c r="A238" s="30">
        <v>49</v>
      </c>
      <c r="B238" s="31" t="s">
        <v>496</v>
      </c>
      <c r="C238" s="31" t="s">
        <v>473</v>
      </c>
      <c r="D238" s="31" t="s">
        <v>471</v>
      </c>
      <c r="E238" s="31" t="s">
        <v>475</v>
      </c>
      <c r="F238" s="31" t="str">
        <f>IF(H238=1,INDEX('Match Results'!$G$6:$G$185,MATCH(A238,'Match Results'!$A$6:$A$185,0)),INDEX('Match Results'!$H$6:$H$185,MATCH(A238,'Match Results'!$A$6:$A$185,0)))</f>
        <v>A1</v>
      </c>
      <c r="G238" s="31" t="str">
        <f>IF(H238=1,INDEX('Match Results'!$H$6:$H$185,MATCH(A238,'Match Results'!$A$6:$A$185,0)),INDEX('Match Results'!$G$6:$G$185,MATCH(A238,'Match Results'!$A$6:$A$185,0)))</f>
        <v>A3</v>
      </c>
      <c r="H238" s="31">
        <v>1</v>
      </c>
      <c r="I238" s="31">
        <v>1</v>
      </c>
      <c r="J238" s="32"/>
      <c r="K238" s="31" t="str">
        <f>IF(J238="","",IFERROR(INDEX('Team Rosters'!$C$6:$C$205,MATCH(J238,'Team Rosters'!$B$6:$B$205,0)),"CODE NOT FOUND"))</f>
        <v/>
      </c>
      <c r="L238" s="31" t="str">
        <f t="shared" si="9"/>
        <v/>
      </c>
      <c r="M238" s="31" t="str">
        <f>IF(OR(J238="",C238&lt;&gt;"League",L238&lt;&gt;"VALID"),"",COUNTIFS($J$6:J238,J238,$G$6:G238,G238,$C$6:C238,"League"))</f>
        <v/>
      </c>
      <c r="N238" s="31" t="str">
        <f t="shared" si="10"/>
        <v/>
      </c>
      <c r="O238" s="37" t="str">
        <f t="shared" si="11"/>
        <v/>
      </c>
    </row>
    <row r="239" spans="1:15" ht="15">
      <c r="A239" s="30">
        <v>49</v>
      </c>
      <c r="B239" s="31" t="s">
        <v>496</v>
      </c>
      <c r="C239" s="31" t="s">
        <v>473</v>
      </c>
      <c r="D239" s="31" t="s">
        <v>471</v>
      </c>
      <c r="E239" s="31" t="s">
        <v>475</v>
      </c>
      <c r="F239" s="31" t="str">
        <f>IF(H239=1,INDEX('Match Results'!$G$6:$G$185,MATCH(A239,'Match Results'!$A$6:$A$185,0)),INDEX('Match Results'!$H$6:$H$185,MATCH(A239,'Match Results'!$A$6:$A$185,0)))</f>
        <v>A1</v>
      </c>
      <c r="G239" s="31" t="str">
        <f>IF(H239=1,INDEX('Match Results'!$H$6:$H$185,MATCH(A239,'Match Results'!$A$6:$A$185,0)),INDEX('Match Results'!$G$6:$G$185,MATCH(A239,'Match Results'!$A$6:$A$185,0)))</f>
        <v>A3</v>
      </c>
      <c r="H239" s="31">
        <v>1</v>
      </c>
      <c r="I239" s="31">
        <v>2</v>
      </c>
      <c r="J239" s="32"/>
      <c r="K239" s="31" t="str">
        <f>IF(J239="","",IFERROR(INDEX('Team Rosters'!$C$6:$C$205,MATCH(J239,'Team Rosters'!$B$6:$B$205,0)),"CODE NOT FOUND"))</f>
        <v/>
      </c>
      <c r="L239" s="31" t="str">
        <f t="shared" si="9"/>
        <v/>
      </c>
      <c r="M239" s="31" t="str">
        <f>IF(OR(J239="",C239&lt;&gt;"League",L239&lt;&gt;"VALID"),"",COUNTIFS($J$6:J239,J239,$G$6:G239,G239,$C$6:C239,"League"))</f>
        <v/>
      </c>
      <c r="N239" s="31" t="str">
        <f t="shared" si="10"/>
        <v/>
      </c>
      <c r="O239" s="37" t="str">
        <f t="shared" si="11"/>
        <v/>
      </c>
    </row>
    <row r="240" spans="1:15" ht="15">
      <c r="A240" s="30">
        <v>49</v>
      </c>
      <c r="B240" s="31" t="s">
        <v>496</v>
      </c>
      <c r="C240" s="31" t="s">
        <v>473</v>
      </c>
      <c r="D240" s="31" t="s">
        <v>471</v>
      </c>
      <c r="E240" s="31" t="s">
        <v>475</v>
      </c>
      <c r="F240" s="31" t="str">
        <f>IF(H240=1,INDEX('Match Results'!$G$6:$G$185,MATCH(A240,'Match Results'!$A$6:$A$185,0)),INDEX('Match Results'!$H$6:$H$185,MATCH(A240,'Match Results'!$A$6:$A$185,0)))</f>
        <v>A3</v>
      </c>
      <c r="G240" s="31" t="str">
        <f>IF(H240=1,INDEX('Match Results'!$H$6:$H$185,MATCH(A240,'Match Results'!$A$6:$A$185,0)),INDEX('Match Results'!$G$6:$G$185,MATCH(A240,'Match Results'!$A$6:$A$185,0)))</f>
        <v>A1</v>
      </c>
      <c r="H240" s="31">
        <v>2</v>
      </c>
      <c r="I240" s="31">
        <v>3</v>
      </c>
      <c r="J240" s="32"/>
      <c r="K240" s="31" t="str">
        <f>IF(J240="","",IFERROR(INDEX('Team Rosters'!$C$6:$C$205,MATCH(J240,'Team Rosters'!$B$6:$B$205,0)),"CODE NOT FOUND"))</f>
        <v/>
      </c>
      <c r="L240" s="31" t="str">
        <f t="shared" si="9"/>
        <v/>
      </c>
      <c r="M240" s="31" t="str">
        <f>IF(OR(J240="",C240&lt;&gt;"League",L240&lt;&gt;"VALID"),"",COUNTIFS($J$6:J240,J240,$G$6:G240,G240,$C$6:C240,"League"))</f>
        <v/>
      </c>
      <c r="N240" s="31" t="str">
        <f t="shared" si="10"/>
        <v/>
      </c>
      <c r="O240" s="37" t="str">
        <f t="shared" si="11"/>
        <v/>
      </c>
    </row>
    <row r="241" spans="1:15" ht="15">
      <c r="A241" s="30">
        <v>49</v>
      </c>
      <c r="B241" s="31" t="s">
        <v>496</v>
      </c>
      <c r="C241" s="31" t="s">
        <v>473</v>
      </c>
      <c r="D241" s="31" t="s">
        <v>471</v>
      </c>
      <c r="E241" s="31" t="s">
        <v>475</v>
      </c>
      <c r="F241" s="31" t="str">
        <f>IF(H241=1,INDEX('Match Results'!$G$6:$G$185,MATCH(A241,'Match Results'!$A$6:$A$185,0)),INDEX('Match Results'!$H$6:$H$185,MATCH(A241,'Match Results'!$A$6:$A$185,0)))</f>
        <v>A3</v>
      </c>
      <c r="G241" s="31" t="str">
        <f>IF(H241=1,INDEX('Match Results'!$H$6:$H$185,MATCH(A241,'Match Results'!$A$6:$A$185,0)),INDEX('Match Results'!$G$6:$G$185,MATCH(A241,'Match Results'!$A$6:$A$185,0)))</f>
        <v>A1</v>
      </c>
      <c r="H241" s="31">
        <v>2</v>
      </c>
      <c r="I241" s="31">
        <v>4</v>
      </c>
      <c r="J241" s="32"/>
      <c r="K241" s="31" t="str">
        <f>IF(J241="","",IFERROR(INDEX('Team Rosters'!$C$6:$C$205,MATCH(J241,'Team Rosters'!$B$6:$B$205,0)),"CODE NOT FOUND"))</f>
        <v/>
      </c>
      <c r="L241" s="31" t="str">
        <f t="shared" si="9"/>
        <v/>
      </c>
      <c r="M241" s="31" t="str">
        <f>IF(OR(J241="",C241&lt;&gt;"League",L241&lt;&gt;"VALID"),"",COUNTIFS($J$6:J241,J241,$G$6:G241,G241,$C$6:C241,"League"))</f>
        <v/>
      </c>
      <c r="N241" s="31" t="str">
        <f t="shared" si="10"/>
        <v/>
      </c>
      <c r="O241" s="37" t="str">
        <f t="shared" si="11"/>
        <v/>
      </c>
    </row>
    <row r="242" spans="1:15" ht="15">
      <c r="A242" s="30">
        <v>50</v>
      </c>
      <c r="B242" s="31" t="s">
        <v>496</v>
      </c>
      <c r="C242" s="31" t="s">
        <v>473</v>
      </c>
      <c r="D242" s="31" t="s">
        <v>471</v>
      </c>
      <c r="E242" s="31" t="s">
        <v>472</v>
      </c>
      <c r="F242" s="31" t="str">
        <f>IF(H242=1,INDEX('Match Results'!$G$6:$G$185,MATCH(A242,'Match Results'!$A$6:$A$185,0)),INDEX('Match Results'!$H$6:$H$185,MATCH(A242,'Match Results'!$A$6:$A$185,0)))</f>
        <v>A2</v>
      </c>
      <c r="G242" s="31" t="str">
        <f>IF(H242=1,INDEX('Match Results'!$H$6:$H$185,MATCH(A242,'Match Results'!$A$6:$A$185,0)),INDEX('Match Results'!$G$6:$G$185,MATCH(A242,'Match Results'!$A$6:$A$185,0)))</f>
        <v>A4</v>
      </c>
      <c r="H242" s="31">
        <v>1</v>
      </c>
      <c r="I242" s="31">
        <v>1</v>
      </c>
      <c r="J242" s="32"/>
      <c r="K242" s="31" t="str">
        <f>IF(J242="","",IFERROR(INDEX('Team Rosters'!$C$6:$C$205,MATCH(J242,'Team Rosters'!$B$6:$B$205,0)),"CODE NOT FOUND"))</f>
        <v/>
      </c>
      <c r="L242" s="31" t="str">
        <f t="shared" si="9"/>
        <v/>
      </c>
      <c r="M242" s="31" t="str">
        <f>IF(OR(J242="",C242&lt;&gt;"League",L242&lt;&gt;"VALID"),"",COUNTIFS($J$6:J242,J242,$G$6:G242,G242,$C$6:C242,"League"))</f>
        <v/>
      </c>
      <c r="N242" s="31" t="str">
        <f t="shared" si="10"/>
        <v/>
      </c>
      <c r="O242" s="37" t="str">
        <f t="shared" si="11"/>
        <v/>
      </c>
    </row>
    <row r="243" spans="1:15" ht="15">
      <c r="A243" s="30">
        <v>50</v>
      </c>
      <c r="B243" s="31" t="s">
        <v>496</v>
      </c>
      <c r="C243" s="31" t="s">
        <v>473</v>
      </c>
      <c r="D243" s="31" t="s">
        <v>471</v>
      </c>
      <c r="E243" s="31" t="s">
        <v>472</v>
      </c>
      <c r="F243" s="31" t="str">
        <f>IF(H243=1,INDEX('Match Results'!$G$6:$G$185,MATCH(A243,'Match Results'!$A$6:$A$185,0)),INDEX('Match Results'!$H$6:$H$185,MATCH(A243,'Match Results'!$A$6:$A$185,0)))</f>
        <v>A2</v>
      </c>
      <c r="G243" s="31" t="str">
        <f>IF(H243=1,INDEX('Match Results'!$H$6:$H$185,MATCH(A243,'Match Results'!$A$6:$A$185,0)),INDEX('Match Results'!$G$6:$G$185,MATCH(A243,'Match Results'!$A$6:$A$185,0)))</f>
        <v>A4</v>
      </c>
      <c r="H243" s="31">
        <v>1</v>
      </c>
      <c r="I243" s="31">
        <v>2</v>
      </c>
      <c r="J243" s="32"/>
      <c r="K243" s="31" t="str">
        <f>IF(J243="","",IFERROR(INDEX('Team Rosters'!$C$6:$C$205,MATCH(J243,'Team Rosters'!$B$6:$B$205,0)),"CODE NOT FOUND"))</f>
        <v/>
      </c>
      <c r="L243" s="31" t="str">
        <f t="shared" si="9"/>
        <v/>
      </c>
      <c r="M243" s="31" t="str">
        <f>IF(OR(J243="",C243&lt;&gt;"League",L243&lt;&gt;"VALID"),"",COUNTIFS($J$6:J243,J243,$G$6:G243,G243,$C$6:C243,"League"))</f>
        <v/>
      </c>
      <c r="N243" s="31" t="str">
        <f t="shared" si="10"/>
        <v/>
      </c>
      <c r="O243" s="37" t="str">
        <f t="shared" si="11"/>
        <v/>
      </c>
    </row>
    <row r="244" spans="1:15" ht="15">
      <c r="A244" s="30">
        <v>50</v>
      </c>
      <c r="B244" s="31" t="s">
        <v>496</v>
      </c>
      <c r="C244" s="31" t="s">
        <v>473</v>
      </c>
      <c r="D244" s="31" t="s">
        <v>471</v>
      </c>
      <c r="E244" s="31" t="s">
        <v>472</v>
      </c>
      <c r="F244" s="31" t="str">
        <f>IF(H244=1,INDEX('Match Results'!$G$6:$G$185,MATCH(A244,'Match Results'!$A$6:$A$185,0)),INDEX('Match Results'!$H$6:$H$185,MATCH(A244,'Match Results'!$A$6:$A$185,0)))</f>
        <v>A4</v>
      </c>
      <c r="G244" s="31" t="str">
        <f>IF(H244=1,INDEX('Match Results'!$H$6:$H$185,MATCH(A244,'Match Results'!$A$6:$A$185,0)),INDEX('Match Results'!$G$6:$G$185,MATCH(A244,'Match Results'!$A$6:$A$185,0)))</f>
        <v>A2</v>
      </c>
      <c r="H244" s="31">
        <v>2</v>
      </c>
      <c r="I244" s="31">
        <v>3</v>
      </c>
      <c r="J244" s="32"/>
      <c r="K244" s="31" t="str">
        <f>IF(J244="","",IFERROR(INDEX('Team Rosters'!$C$6:$C$205,MATCH(J244,'Team Rosters'!$B$6:$B$205,0)),"CODE NOT FOUND"))</f>
        <v/>
      </c>
      <c r="L244" s="31" t="str">
        <f t="shared" si="9"/>
        <v/>
      </c>
      <c r="M244" s="31" t="str">
        <f>IF(OR(J244="",C244&lt;&gt;"League",L244&lt;&gt;"VALID"),"",COUNTIFS($J$6:J244,J244,$G$6:G244,G244,$C$6:C244,"League"))</f>
        <v/>
      </c>
      <c r="N244" s="31" t="str">
        <f t="shared" si="10"/>
        <v/>
      </c>
      <c r="O244" s="37" t="str">
        <f t="shared" si="11"/>
        <v/>
      </c>
    </row>
    <row r="245" spans="1:15" ht="15">
      <c r="A245" s="30">
        <v>50</v>
      </c>
      <c r="B245" s="31" t="s">
        <v>496</v>
      </c>
      <c r="C245" s="31" t="s">
        <v>473</v>
      </c>
      <c r="D245" s="31" t="s">
        <v>471</v>
      </c>
      <c r="E245" s="31" t="s">
        <v>472</v>
      </c>
      <c r="F245" s="31" t="str">
        <f>IF(H245=1,INDEX('Match Results'!$G$6:$G$185,MATCH(A245,'Match Results'!$A$6:$A$185,0)),INDEX('Match Results'!$H$6:$H$185,MATCH(A245,'Match Results'!$A$6:$A$185,0)))</f>
        <v>A4</v>
      </c>
      <c r="G245" s="31" t="str">
        <f>IF(H245=1,INDEX('Match Results'!$H$6:$H$185,MATCH(A245,'Match Results'!$A$6:$A$185,0)),INDEX('Match Results'!$G$6:$G$185,MATCH(A245,'Match Results'!$A$6:$A$185,0)))</f>
        <v>A2</v>
      </c>
      <c r="H245" s="31">
        <v>2</v>
      </c>
      <c r="I245" s="31">
        <v>4</v>
      </c>
      <c r="J245" s="32"/>
      <c r="K245" s="31" t="str">
        <f>IF(J245="","",IFERROR(INDEX('Team Rosters'!$C$6:$C$205,MATCH(J245,'Team Rosters'!$B$6:$B$205,0)),"CODE NOT FOUND"))</f>
        <v/>
      </c>
      <c r="L245" s="31" t="str">
        <f t="shared" si="9"/>
        <v/>
      </c>
      <c r="M245" s="31" t="str">
        <f>IF(OR(J245="",C245&lt;&gt;"League",L245&lt;&gt;"VALID"),"",COUNTIFS($J$6:J245,J245,$G$6:G245,G245,$C$6:C245,"League"))</f>
        <v/>
      </c>
      <c r="N245" s="31" t="str">
        <f t="shared" si="10"/>
        <v/>
      </c>
      <c r="O245" s="37" t="str">
        <f t="shared" si="11"/>
        <v/>
      </c>
    </row>
    <row r="246" spans="1:15" ht="15">
      <c r="A246" s="30">
        <v>51</v>
      </c>
      <c r="B246" s="31" t="s">
        <v>496</v>
      </c>
      <c r="C246" s="31" t="s">
        <v>473</v>
      </c>
      <c r="D246" s="31" t="s">
        <v>471</v>
      </c>
      <c r="E246" s="31" t="s">
        <v>477</v>
      </c>
      <c r="F246" s="31" t="str">
        <f>IF(H246=1,INDEX('Match Results'!$G$6:$G$185,MATCH(A246,'Match Results'!$A$6:$A$185,0)),INDEX('Match Results'!$H$6:$H$185,MATCH(A246,'Match Results'!$A$6:$A$185,0)))</f>
        <v>B2</v>
      </c>
      <c r="G246" s="31" t="str">
        <f>IF(H246=1,INDEX('Match Results'!$H$6:$H$185,MATCH(A246,'Match Results'!$A$6:$A$185,0)),INDEX('Match Results'!$G$6:$G$185,MATCH(A246,'Match Results'!$A$6:$A$185,0)))</f>
        <v>B4</v>
      </c>
      <c r="H246" s="31">
        <v>1</v>
      </c>
      <c r="I246" s="31">
        <v>1</v>
      </c>
      <c r="J246" s="32"/>
      <c r="K246" s="31" t="str">
        <f>IF(J246="","",IFERROR(INDEX('Team Rosters'!$C$6:$C$205,MATCH(J246,'Team Rosters'!$B$6:$B$205,0)),"CODE NOT FOUND"))</f>
        <v/>
      </c>
      <c r="L246" s="31" t="str">
        <f t="shared" si="9"/>
        <v/>
      </c>
      <c r="M246" s="31" t="str">
        <f>IF(OR(J246="",C246&lt;&gt;"League",L246&lt;&gt;"VALID"),"",COUNTIFS($J$6:J246,J246,$G$6:G246,G246,$C$6:C246,"League"))</f>
        <v/>
      </c>
      <c r="N246" s="31" t="str">
        <f t="shared" si="10"/>
        <v/>
      </c>
      <c r="O246" s="37" t="str">
        <f t="shared" si="11"/>
        <v/>
      </c>
    </row>
    <row r="247" spans="1:15" ht="15">
      <c r="A247" s="30">
        <v>51</v>
      </c>
      <c r="B247" s="31" t="s">
        <v>496</v>
      </c>
      <c r="C247" s="31" t="s">
        <v>473</v>
      </c>
      <c r="D247" s="31" t="s">
        <v>471</v>
      </c>
      <c r="E247" s="31" t="s">
        <v>477</v>
      </c>
      <c r="F247" s="31" t="str">
        <f>IF(H247=1,INDEX('Match Results'!$G$6:$G$185,MATCH(A247,'Match Results'!$A$6:$A$185,0)),INDEX('Match Results'!$H$6:$H$185,MATCH(A247,'Match Results'!$A$6:$A$185,0)))</f>
        <v>B2</v>
      </c>
      <c r="G247" s="31" t="str">
        <f>IF(H247=1,INDEX('Match Results'!$H$6:$H$185,MATCH(A247,'Match Results'!$A$6:$A$185,0)),INDEX('Match Results'!$G$6:$G$185,MATCH(A247,'Match Results'!$A$6:$A$185,0)))</f>
        <v>B4</v>
      </c>
      <c r="H247" s="31">
        <v>1</v>
      </c>
      <c r="I247" s="31">
        <v>2</v>
      </c>
      <c r="J247" s="32"/>
      <c r="K247" s="31" t="str">
        <f>IF(J247="","",IFERROR(INDEX('Team Rosters'!$C$6:$C$205,MATCH(J247,'Team Rosters'!$B$6:$B$205,0)),"CODE NOT FOUND"))</f>
        <v/>
      </c>
      <c r="L247" s="31" t="str">
        <f t="shared" si="9"/>
        <v/>
      </c>
      <c r="M247" s="31" t="str">
        <f>IF(OR(J247="",C247&lt;&gt;"League",L247&lt;&gt;"VALID"),"",COUNTIFS($J$6:J247,J247,$G$6:G247,G247,$C$6:C247,"League"))</f>
        <v/>
      </c>
      <c r="N247" s="31" t="str">
        <f t="shared" si="10"/>
        <v/>
      </c>
      <c r="O247" s="37" t="str">
        <f t="shared" si="11"/>
        <v/>
      </c>
    </row>
    <row r="248" spans="1:15" ht="15">
      <c r="A248" s="30">
        <v>51</v>
      </c>
      <c r="B248" s="31" t="s">
        <v>496</v>
      </c>
      <c r="C248" s="31" t="s">
        <v>473</v>
      </c>
      <c r="D248" s="31" t="s">
        <v>471</v>
      </c>
      <c r="E248" s="31" t="s">
        <v>477</v>
      </c>
      <c r="F248" s="31" t="str">
        <f>IF(H248=1,INDEX('Match Results'!$G$6:$G$185,MATCH(A248,'Match Results'!$A$6:$A$185,0)),INDEX('Match Results'!$H$6:$H$185,MATCH(A248,'Match Results'!$A$6:$A$185,0)))</f>
        <v>B4</v>
      </c>
      <c r="G248" s="31" t="str">
        <f>IF(H248=1,INDEX('Match Results'!$H$6:$H$185,MATCH(A248,'Match Results'!$A$6:$A$185,0)),INDEX('Match Results'!$G$6:$G$185,MATCH(A248,'Match Results'!$A$6:$A$185,0)))</f>
        <v>B2</v>
      </c>
      <c r="H248" s="31">
        <v>2</v>
      </c>
      <c r="I248" s="31">
        <v>3</v>
      </c>
      <c r="J248" s="32"/>
      <c r="K248" s="31" t="str">
        <f>IF(J248="","",IFERROR(INDEX('Team Rosters'!$C$6:$C$205,MATCH(J248,'Team Rosters'!$B$6:$B$205,0)),"CODE NOT FOUND"))</f>
        <v/>
      </c>
      <c r="L248" s="31" t="str">
        <f t="shared" si="9"/>
        <v/>
      </c>
      <c r="M248" s="31" t="str">
        <f>IF(OR(J248="",C248&lt;&gt;"League",L248&lt;&gt;"VALID"),"",COUNTIFS($J$6:J248,J248,$G$6:G248,G248,$C$6:C248,"League"))</f>
        <v/>
      </c>
      <c r="N248" s="31" t="str">
        <f t="shared" si="10"/>
        <v/>
      </c>
      <c r="O248" s="37" t="str">
        <f t="shared" si="11"/>
        <v/>
      </c>
    </row>
    <row r="249" spans="1:15" ht="15">
      <c r="A249" s="30">
        <v>51</v>
      </c>
      <c r="B249" s="31" t="s">
        <v>496</v>
      </c>
      <c r="C249" s="31" t="s">
        <v>473</v>
      </c>
      <c r="D249" s="31" t="s">
        <v>471</v>
      </c>
      <c r="E249" s="31" t="s">
        <v>477</v>
      </c>
      <c r="F249" s="31" t="str">
        <f>IF(H249=1,INDEX('Match Results'!$G$6:$G$185,MATCH(A249,'Match Results'!$A$6:$A$185,0)),INDEX('Match Results'!$H$6:$H$185,MATCH(A249,'Match Results'!$A$6:$A$185,0)))</f>
        <v>B4</v>
      </c>
      <c r="G249" s="31" t="str">
        <f>IF(H249=1,INDEX('Match Results'!$H$6:$H$185,MATCH(A249,'Match Results'!$A$6:$A$185,0)),INDEX('Match Results'!$G$6:$G$185,MATCH(A249,'Match Results'!$A$6:$A$185,0)))</f>
        <v>B2</v>
      </c>
      <c r="H249" s="31">
        <v>2</v>
      </c>
      <c r="I249" s="31">
        <v>4</v>
      </c>
      <c r="J249" s="32"/>
      <c r="K249" s="31" t="str">
        <f>IF(J249="","",IFERROR(INDEX('Team Rosters'!$C$6:$C$205,MATCH(J249,'Team Rosters'!$B$6:$B$205,0)),"CODE NOT FOUND"))</f>
        <v/>
      </c>
      <c r="L249" s="31" t="str">
        <f t="shared" si="9"/>
        <v/>
      </c>
      <c r="M249" s="31" t="str">
        <f>IF(OR(J249="",C249&lt;&gt;"League",L249&lt;&gt;"VALID"),"",COUNTIFS($J$6:J249,J249,$G$6:G249,G249,$C$6:C249,"League"))</f>
        <v/>
      </c>
      <c r="N249" s="31" t="str">
        <f t="shared" si="10"/>
        <v/>
      </c>
      <c r="O249" s="37" t="str">
        <f t="shared" si="11"/>
        <v/>
      </c>
    </row>
    <row r="250" spans="1:15" ht="15">
      <c r="A250" s="30">
        <v>52</v>
      </c>
      <c r="B250" s="31" t="s">
        <v>496</v>
      </c>
      <c r="C250" s="31" t="s">
        <v>473</v>
      </c>
      <c r="D250" s="31" t="s">
        <v>479</v>
      </c>
      <c r="E250" s="31" t="s">
        <v>475</v>
      </c>
      <c r="F250" s="31" t="str">
        <f>IF(H250=1,INDEX('Match Results'!$G$6:$G$185,MATCH(A250,'Match Results'!$A$6:$A$185,0)),INDEX('Match Results'!$H$6:$H$185,MATCH(A250,'Match Results'!$A$6:$A$185,0)))</f>
        <v>A1</v>
      </c>
      <c r="G250" s="31" t="str">
        <f>IF(H250=1,INDEX('Match Results'!$H$6:$H$185,MATCH(A250,'Match Results'!$A$6:$A$185,0)),INDEX('Match Results'!$G$6:$G$185,MATCH(A250,'Match Results'!$A$6:$A$185,0)))</f>
        <v>A2</v>
      </c>
      <c r="H250" s="31">
        <v>1</v>
      </c>
      <c r="I250" s="31">
        <v>1</v>
      </c>
      <c r="J250" s="32"/>
      <c r="K250" s="31" t="str">
        <f>IF(J250="","",IFERROR(INDEX('Team Rosters'!$C$6:$C$205,MATCH(J250,'Team Rosters'!$B$6:$B$205,0)),"CODE NOT FOUND"))</f>
        <v/>
      </c>
      <c r="L250" s="31" t="str">
        <f t="shared" si="9"/>
        <v/>
      </c>
      <c r="M250" s="31" t="str">
        <f>IF(OR(J250="",C250&lt;&gt;"League",L250&lt;&gt;"VALID"),"",COUNTIFS($J$6:J250,J250,$G$6:G250,G250,$C$6:C250,"League"))</f>
        <v/>
      </c>
      <c r="N250" s="31" t="str">
        <f t="shared" si="10"/>
        <v/>
      </c>
      <c r="O250" s="37" t="str">
        <f t="shared" si="11"/>
        <v/>
      </c>
    </row>
    <row r="251" spans="1:15" ht="15">
      <c r="A251" s="30">
        <v>52</v>
      </c>
      <c r="B251" s="31" t="s">
        <v>496</v>
      </c>
      <c r="C251" s="31" t="s">
        <v>473</v>
      </c>
      <c r="D251" s="31" t="s">
        <v>479</v>
      </c>
      <c r="E251" s="31" t="s">
        <v>475</v>
      </c>
      <c r="F251" s="31" t="str">
        <f>IF(H251=1,INDEX('Match Results'!$G$6:$G$185,MATCH(A251,'Match Results'!$A$6:$A$185,0)),INDEX('Match Results'!$H$6:$H$185,MATCH(A251,'Match Results'!$A$6:$A$185,0)))</f>
        <v>A1</v>
      </c>
      <c r="G251" s="31" t="str">
        <f>IF(H251=1,INDEX('Match Results'!$H$6:$H$185,MATCH(A251,'Match Results'!$A$6:$A$185,0)),INDEX('Match Results'!$G$6:$G$185,MATCH(A251,'Match Results'!$A$6:$A$185,0)))</f>
        <v>A2</v>
      </c>
      <c r="H251" s="31">
        <v>1</v>
      </c>
      <c r="I251" s="31">
        <v>2</v>
      </c>
      <c r="J251" s="32"/>
      <c r="K251" s="31" t="str">
        <f>IF(J251="","",IFERROR(INDEX('Team Rosters'!$C$6:$C$205,MATCH(J251,'Team Rosters'!$B$6:$B$205,0)),"CODE NOT FOUND"))</f>
        <v/>
      </c>
      <c r="L251" s="31" t="str">
        <f t="shared" si="9"/>
        <v/>
      </c>
      <c r="M251" s="31" t="str">
        <f>IF(OR(J251="",C251&lt;&gt;"League",L251&lt;&gt;"VALID"),"",COUNTIFS($J$6:J251,J251,$G$6:G251,G251,$C$6:C251,"League"))</f>
        <v/>
      </c>
      <c r="N251" s="31" t="str">
        <f t="shared" si="10"/>
        <v/>
      </c>
      <c r="O251" s="37" t="str">
        <f t="shared" si="11"/>
        <v/>
      </c>
    </row>
    <row r="252" spans="1:15" ht="15">
      <c r="A252" s="30">
        <v>52</v>
      </c>
      <c r="B252" s="31" t="s">
        <v>496</v>
      </c>
      <c r="C252" s="31" t="s">
        <v>473</v>
      </c>
      <c r="D252" s="31" t="s">
        <v>479</v>
      </c>
      <c r="E252" s="31" t="s">
        <v>475</v>
      </c>
      <c r="F252" s="31" t="str">
        <f>IF(H252=1,INDEX('Match Results'!$G$6:$G$185,MATCH(A252,'Match Results'!$A$6:$A$185,0)),INDEX('Match Results'!$H$6:$H$185,MATCH(A252,'Match Results'!$A$6:$A$185,0)))</f>
        <v>A2</v>
      </c>
      <c r="G252" s="31" t="str">
        <f>IF(H252=1,INDEX('Match Results'!$H$6:$H$185,MATCH(A252,'Match Results'!$A$6:$A$185,0)),INDEX('Match Results'!$G$6:$G$185,MATCH(A252,'Match Results'!$A$6:$A$185,0)))</f>
        <v>A1</v>
      </c>
      <c r="H252" s="31">
        <v>2</v>
      </c>
      <c r="I252" s="31">
        <v>3</v>
      </c>
      <c r="J252" s="32"/>
      <c r="K252" s="31" t="str">
        <f>IF(J252="","",IFERROR(INDEX('Team Rosters'!$C$6:$C$205,MATCH(J252,'Team Rosters'!$B$6:$B$205,0)),"CODE NOT FOUND"))</f>
        <v/>
      </c>
      <c r="L252" s="31" t="str">
        <f t="shared" si="9"/>
        <v/>
      </c>
      <c r="M252" s="31" t="str">
        <f>IF(OR(J252="",C252&lt;&gt;"League",L252&lt;&gt;"VALID"),"",COUNTIFS($J$6:J252,J252,$G$6:G252,G252,$C$6:C252,"League"))</f>
        <v/>
      </c>
      <c r="N252" s="31" t="str">
        <f t="shared" si="10"/>
        <v/>
      </c>
      <c r="O252" s="37" t="str">
        <f t="shared" si="11"/>
        <v/>
      </c>
    </row>
    <row r="253" spans="1:15" ht="15">
      <c r="A253" s="30">
        <v>52</v>
      </c>
      <c r="B253" s="31" t="s">
        <v>496</v>
      </c>
      <c r="C253" s="31" t="s">
        <v>473</v>
      </c>
      <c r="D253" s="31" t="s">
        <v>479</v>
      </c>
      <c r="E253" s="31" t="s">
        <v>475</v>
      </c>
      <c r="F253" s="31" t="str">
        <f>IF(H253=1,INDEX('Match Results'!$G$6:$G$185,MATCH(A253,'Match Results'!$A$6:$A$185,0)),INDEX('Match Results'!$H$6:$H$185,MATCH(A253,'Match Results'!$A$6:$A$185,0)))</f>
        <v>A2</v>
      </c>
      <c r="G253" s="31" t="str">
        <f>IF(H253=1,INDEX('Match Results'!$H$6:$H$185,MATCH(A253,'Match Results'!$A$6:$A$185,0)),INDEX('Match Results'!$G$6:$G$185,MATCH(A253,'Match Results'!$A$6:$A$185,0)))</f>
        <v>A1</v>
      </c>
      <c r="H253" s="31">
        <v>2</v>
      </c>
      <c r="I253" s="31">
        <v>4</v>
      </c>
      <c r="J253" s="32"/>
      <c r="K253" s="31" t="str">
        <f>IF(J253="","",IFERROR(INDEX('Team Rosters'!$C$6:$C$205,MATCH(J253,'Team Rosters'!$B$6:$B$205,0)),"CODE NOT FOUND"))</f>
        <v/>
      </c>
      <c r="L253" s="31" t="str">
        <f t="shared" si="9"/>
        <v/>
      </c>
      <c r="M253" s="31" t="str">
        <f>IF(OR(J253="",C253&lt;&gt;"League",L253&lt;&gt;"VALID"),"",COUNTIFS($J$6:J253,J253,$G$6:G253,G253,$C$6:C253,"League"))</f>
        <v/>
      </c>
      <c r="N253" s="31" t="str">
        <f t="shared" si="10"/>
        <v/>
      </c>
      <c r="O253" s="37" t="str">
        <f t="shared" si="11"/>
        <v/>
      </c>
    </row>
    <row r="254" spans="1:15" ht="15">
      <c r="A254" s="30">
        <v>53</v>
      </c>
      <c r="B254" s="31" t="s">
        <v>496</v>
      </c>
      <c r="C254" s="31" t="s">
        <v>473</v>
      </c>
      <c r="D254" s="31" t="s">
        <v>479</v>
      </c>
      <c r="E254" s="31" t="s">
        <v>477</v>
      </c>
      <c r="F254" s="31" t="str">
        <f>IF(H254=1,INDEX('Match Results'!$G$6:$G$185,MATCH(A254,'Match Results'!$A$6:$A$185,0)),INDEX('Match Results'!$H$6:$H$185,MATCH(A254,'Match Results'!$A$6:$A$185,0)))</f>
        <v>A3</v>
      </c>
      <c r="G254" s="31" t="str">
        <f>IF(H254=1,INDEX('Match Results'!$H$6:$H$185,MATCH(A254,'Match Results'!$A$6:$A$185,0)),INDEX('Match Results'!$G$6:$G$185,MATCH(A254,'Match Results'!$A$6:$A$185,0)))</f>
        <v>A4</v>
      </c>
      <c r="H254" s="31">
        <v>1</v>
      </c>
      <c r="I254" s="31">
        <v>1</v>
      </c>
      <c r="J254" s="32"/>
      <c r="K254" s="31" t="str">
        <f>IF(J254="","",IFERROR(INDEX('Team Rosters'!$C$6:$C$205,MATCH(J254,'Team Rosters'!$B$6:$B$205,0)),"CODE NOT FOUND"))</f>
        <v/>
      </c>
      <c r="L254" s="31" t="str">
        <f t="shared" si="9"/>
        <v/>
      </c>
      <c r="M254" s="31" t="str">
        <f>IF(OR(J254="",C254&lt;&gt;"League",L254&lt;&gt;"VALID"),"",COUNTIFS($J$6:J254,J254,$G$6:G254,G254,$C$6:C254,"League"))</f>
        <v/>
      </c>
      <c r="N254" s="31" t="str">
        <f t="shared" si="10"/>
        <v/>
      </c>
      <c r="O254" s="37" t="str">
        <f t="shared" si="11"/>
        <v/>
      </c>
    </row>
    <row r="255" spans="1:15" ht="15">
      <c r="A255" s="30">
        <v>53</v>
      </c>
      <c r="B255" s="31" t="s">
        <v>496</v>
      </c>
      <c r="C255" s="31" t="s">
        <v>473</v>
      </c>
      <c r="D255" s="31" t="s">
        <v>479</v>
      </c>
      <c r="E255" s="31" t="s">
        <v>477</v>
      </c>
      <c r="F255" s="31" t="str">
        <f>IF(H255=1,INDEX('Match Results'!$G$6:$G$185,MATCH(A255,'Match Results'!$A$6:$A$185,0)),INDEX('Match Results'!$H$6:$H$185,MATCH(A255,'Match Results'!$A$6:$A$185,0)))</f>
        <v>A3</v>
      </c>
      <c r="G255" s="31" t="str">
        <f>IF(H255=1,INDEX('Match Results'!$H$6:$H$185,MATCH(A255,'Match Results'!$A$6:$A$185,0)),INDEX('Match Results'!$G$6:$G$185,MATCH(A255,'Match Results'!$A$6:$A$185,0)))</f>
        <v>A4</v>
      </c>
      <c r="H255" s="31">
        <v>1</v>
      </c>
      <c r="I255" s="31">
        <v>2</v>
      </c>
      <c r="J255" s="32"/>
      <c r="K255" s="31" t="str">
        <f>IF(J255="","",IFERROR(INDEX('Team Rosters'!$C$6:$C$205,MATCH(J255,'Team Rosters'!$B$6:$B$205,0)),"CODE NOT FOUND"))</f>
        <v/>
      </c>
      <c r="L255" s="31" t="str">
        <f t="shared" si="9"/>
        <v/>
      </c>
      <c r="M255" s="31" t="str">
        <f>IF(OR(J255="",C255&lt;&gt;"League",L255&lt;&gt;"VALID"),"",COUNTIFS($J$6:J255,J255,$G$6:G255,G255,$C$6:C255,"League"))</f>
        <v/>
      </c>
      <c r="N255" s="31" t="str">
        <f t="shared" si="10"/>
        <v/>
      </c>
      <c r="O255" s="37" t="str">
        <f t="shared" si="11"/>
        <v/>
      </c>
    </row>
    <row r="256" spans="1:15" ht="15">
      <c r="A256" s="30">
        <v>53</v>
      </c>
      <c r="B256" s="31" t="s">
        <v>496</v>
      </c>
      <c r="C256" s="31" t="s">
        <v>473</v>
      </c>
      <c r="D256" s="31" t="s">
        <v>479</v>
      </c>
      <c r="E256" s="31" t="s">
        <v>477</v>
      </c>
      <c r="F256" s="31" t="str">
        <f>IF(H256=1,INDEX('Match Results'!$G$6:$G$185,MATCH(A256,'Match Results'!$A$6:$A$185,0)),INDEX('Match Results'!$H$6:$H$185,MATCH(A256,'Match Results'!$A$6:$A$185,0)))</f>
        <v>A4</v>
      </c>
      <c r="G256" s="31" t="str">
        <f>IF(H256=1,INDEX('Match Results'!$H$6:$H$185,MATCH(A256,'Match Results'!$A$6:$A$185,0)),INDEX('Match Results'!$G$6:$G$185,MATCH(A256,'Match Results'!$A$6:$A$185,0)))</f>
        <v>A3</v>
      </c>
      <c r="H256" s="31">
        <v>2</v>
      </c>
      <c r="I256" s="31">
        <v>3</v>
      </c>
      <c r="J256" s="50"/>
      <c r="K256" s="31" t="str">
        <f>IF(J256="","",IFERROR(INDEX('Team Rosters'!$C$6:$C$205,MATCH(J256,'Team Rosters'!$B$6:$B$205,0)),"CODE NOT FOUND"))</f>
        <v/>
      </c>
      <c r="L256" s="31" t="str">
        <f t="shared" si="9"/>
        <v/>
      </c>
      <c r="M256" s="31" t="str">
        <f>IF(OR(J256="",C256&lt;&gt;"League",L256&lt;&gt;"VALID"),"",COUNTIFS($J$6:J256,J256,$G$6:G256,G256,$C$6:C256,"League"))</f>
        <v/>
      </c>
      <c r="N256" s="31" t="str">
        <f t="shared" si="10"/>
        <v/>
      </c>
      <c r="O256" s="37" t="str">
        <f t="shared" si="11"/>
        <v/>
      </c>
    </row>
    <row r="257" spans="1:15" ht="15">
      <c r="A257" s="30">
        <v>53</v>
      </c>
      <c r="B257" s="31" t="s">
        <v>496</v>
      </c>
      <c r="C257" s="31" t="s">
        <v>473</v>
      </c>
      <c r="D257" s="31" t="s">
        <v>479</v>
      </c>
      <c r="E257" s="31" t="s">
        <v>477</v>
      </c>
      <c r="F257" s="31" t="str">
        <f>IF(H257=1,INDEX('Match Results'!$G$6:$G$185,MATCH(A257,'Match Results'!$A$6:$A$185,0)),INDEX('Match Results'!$H$6:$H$185,MATCH(A257,'Match Results'!$A$6:$A$185,0)))</f>
        <v>A4</v>
      </c>
      <c r="G257" s="31" t="str">
        <f>IF(H257=1,INDEX('Match Results'!$H$6:$H$185,MATCH(A257,'Match Results'!$A$6:$A$185,0)),INDEX('Match Results'!$G$6:$G$185,MATCH(A257,'Match Results'!$A$6:$A$185,0)))</f>
        <v>A3</v>
      </c>
      <c r="H257" s="31">
        <v>2</v>
      </c>
      <c r="I257" s="31">
        <v>4</v>
      </c>
      <c r="J257" s="32"/>
      <c r="K257" s="31" t="str">
        <f>IF(J257="","",IFERROR(INDEX('Team Rosters'!$C$6:$C$205,MATCH(J257,'Team Rosters'!$B$6:$B$205,0)),"CODE NOT FOUND"))</f>
        <v/>
      </c>
      <c r="L257" s="31" t="str">
        <f t="shared" si="9"/>
        <v/>
      </c>
      <c r="M257" s="31" t="str">
        <f>IF(OR(J257="",C257&lt;&gt;"League",L257&lt;&gt;"VALID"),"",COUNTIFS($J$6:J257,J257,$G$6:G257,G257,$C$6:C257,"League"))</f>
        <v/>
      </c>
      <c r="N257" s="31" t="str">
        <f t="shared" si="10"/>
        <v/>
      </c>
      <c r="O257" s="37" t="str">
        <f t="shared" si="11"/>
        <v/>
      </c>
    </row>
    <row r="258" spans="1:15" ht="15">
      <c r="A258" s="30">
        <v>54</v>
      </c>
      <c r="B258" s="31" t="s">
        <v>496</v>
      </c>
      <c r="C258" s="31" t="s">
        <v>473</v>
      </c>
      <c r="D258" s="31" t="s">
        <v>479</v>
      </c>
      <c r="E258" s="31" t="s">
        <v>472</v>
      </c>
      <c r="F258" s="31" t="str">
        <f>IF(H258=1,INDEX('Match Results'!$G$6:$G$185,MATCH(A258,'Match Results'!$A$6:$A$185,0)),INDEX('Match Results'!$H$6:$H$185,MATCH(A258,'Match Results'!$A$6:$A$185,0)))</f>
        <v>B1</v>
      </c>
      <c r="G258" s="31" t="str">
        <f>IF(H258=1,INDEX('Match Results'!$H$6:$H$185,MATCH(A258,'Match Results'!$A$6:$A$185,0)),INDEX('Match Results'!$G$6:$G$185,MATCH(A258,'Match Results'!$A$6:$A$185,0)))</f>
        <v>B3</v>
      </c>
      <c r="H258" s="31">
        <v>1</v>
      </c>
      <c r="I258" s="31">
        <v>1</v>
      </c>
      <c r="J258" s="32"/>
      <c r="K258" s="31" t="str">
        <f>IF(J258="","",IFERROR(INDEX('Team Rosters'!$C$6:$C$205,MATCH(J258,'Team Rosters'!$B$6:$B$205,0)),"CODE NOT FOUND"))</f>
        <v/>
      </c>
      <c r="L258" s="31" t="str">
        <f t="shared" si="9"/>
        <v/>
      </c>
      <c r="M258" s="31" t="str">
        <f>IF(OR(J258="",C258&lt;&gt;"League",L258&lt;&gt;"VALID"),"",COUNTIFS($J$6:J258,J258,$G$6:G258,G258,$C$6:C258,"League"))</f>
        <v/>
      </c>
      <c r="N258" s="31" t="str">
        <f t="shared" si="10"/>
        <v/>
      </c>
      <c r="O258" s="37" t="str">
        <f t="shared" si="11"/>
        <v/>
      </c>
    </row>
    <row r="259" spans="1:15" ht="15">
      <c r="A259" s="30">
        <v>54</v>
      </c>
      <c r="B259" s="31" t="s">
        <v>496</v>
      </c>
      <c r="C259" s="31" t="s">
        <v>473</v>
      </c>
      <c r="D259" s="31" t="s">
        <v>479</v>
      </c>
      <c r="E259" s="31" t="s">
        <v>472</v>
      </c>
      <c r="F259" s="31" t="str">
        <f>IF(H259=1,INDEX('Match Results'!$G$6:$G$185,MATCH(A259,'Match Results'!$A$6:$A$185,0)),INDEX('Match Results'!$H$6:$H$185,MATCH(A259,'Match Results'!$A$6:$A$185,0)))</f>
        <v>B1</v>
      </c>
      <c r="G259" s="31" t="str">
        <f>IF(H259=1,INDEX('Match Results'!$H$6:$H$185,MATCH(A259,'Match Results'!$A$6:$A$185,0)),INDEX('Match Results'!$G$6:$G$185,MATCH(A259,'Match Results'!$A$6:$A$185,0)))</f>
        <v>B3</v>
      </c>
      <c r="H259" s="31">
        <v>1</v>
      </c>
      <c r="I259" s="31">
        <v>2</v>
      </c>
      <c r="J259" s="32"/>
      <c r="K259" s="31" t="str">
        <f>IF(J259="","",IFERROR(INDEX('Team Rosters'!$C$6:$C$205,MATCH(J259,'Team Rosters'!$B$6:$B$205,0)),"CODE NOT FOUND"))</f>
        <v/>
      </c>
      <c r="L259" s="31" t="str">
        <f t="shared" si="9"/>
        <v/>
      </c>
      <c r="M259" s="31" t="str">
        <f>IF(OR(J259="",C259&lt;&gt;"League",L259&lt;&gt;"VALID"),"",COUNTIFS($J$6:J259,J259,$G$6:G259,G259,$C$6:C259,"League"))</f>
        <v/>
      </c>
      <c r="N259" s="31" t="str">
        <f t="shared" si="10"/>
        <v/>
      </c>
      <c r="O259" s="37" t="str">
        <f t="shared" si="11"/>
        <v/>
      </c>
    </row>
    <row r="260" spans="1:15" ht="15">
      <c r="A260" s="30">
        <v>54</v>
      </c>
      <c r="B260" s="31" t="s">
        <v>496</v>
      </c>
      <c r="C260" s="31" t="s">
        <v>473</v>
      </c>
      <c r="D260" s="31" t="s">
        <v>479</v>
      </c>
      <c r="E260" s="31" t="s">
        <v>472</v>
      </c>
      <c r="F260" s="31" t="str">
        <f>IF(H260=1,INDEX('Match Results'!$G$6:$G$185,MATCH(A260,'Match Results'!$A$6:$A$185,0)),INDEX('Match Results'!$H$6:$H$185,MATCH(A260,'Match Results'!$A$6:$A$185,0)))</f>
        <v>B3</v>
      </c>
      <c r="G260" s="31" t="str">
        <f>IF(H260=1,INDEX('Match Results'!$H$6:$H$185,MATCH(A260,'Match Results'!$A$6:$A$185,0)),INDEX('Match Results'!$G$6:$G$185,MATCH(A260,'Match Results'!$A$6:$A$185,0)))</f>
        <v>B1</v>
      </c>
      <c r="H260" s="31">
        <v>2</v>
      </c>
      <c r="I260" s="31">
        <v>3</v>
      </c>
      <c r="J260" s="32"/>
      <c r="K260" s="31" t="str">
        <f>IF(J260="","",IFERROR(INDEX('Team Rosters'!$C$6:$C$205,MATCH(J260,'Team Rosters'!$B$6:$B$205,0)),"CODE NOT FOUND"))</f>
        <v/>
      </c>
      <c r="L260" s="31" t="str">
        <f t="shared" si="9"/>
        <v/>
      </c>
      <c r="M260" s="31" t="str">
        <f>IF(OR(J260="",C260&lt;&gt;"League",L260&lt;&gt;"VALID"),"",COUNTIFS($J$6:J260,J260,$G$6:G260,G260,$C$6:C260,"League"))</f>
        <v/>
      </c>
      <c r="N260" s="31" t="str">
        <f t="shared" si="10"/>
        <v/>
      </c>
      <c r="O260" s="37" t="str">
        <f t="shared" si="11"/>
        <v/>
      </c>
    </row>
    <row r="261" spans="1:15" ht="15">
      <c r="A261" s="30">
        <v>54</v>
      </c>
      <c r="B261" s="31" t="s">
        <v>496</v>
      </c>
      <c r="C261" s="31" t="s">
        <v>473</v>
      </c>
      <c r="D261" s="31" t="s">
        <v>479</v>
      </c>
      <c r="E261" s="31" t="s">
        <v>472</v>
      </c>
      <c r="F261" s="31" t="str">
        <f>IF(H261=1,INDEX('Match Results'!$G$6:$G$185,MATCH(A261,'Match Results'!$A$6:$A$185,0)),INDEX('Match Results'!$H$6:$H$185,MATCH(A261,'Match Results'!$A$6:$A$185,0)))</f>
        <v>B3</v>
      </c>
      <c r="G261" s="31" t="str">
        <f>IF(H261=1,INDEX('Match Results'!$H$6:$H$185,MATCH(A261,'Match Results'!$A$6:$A$185,0)),INDEX('Match Results'!$G$6:$G$185,MATCH(A261,'Match Results'!$A$6:$A$185,0)))</f>
        <v>B1</v>
      </c>
      <c r="H261" s="31">
        <v>2</v>
      </c>
      <c r="I261" s="31">
        <v>4</v>
      </c>
      <c r="J261" s="32"/>
      <c r="K261" s="31" t="str">
        <f>IF(J261="","",IFERROR(INDEX('Team Rosters'!$C$6:$C$205,MATCH(J261,'Team Rosters'!$B$6:$B$205,0)),"CODE NOT FOUND"))</f>
        <v/>
      </c>
      <c r="L261" s="31" t="str">
        <f t="shared" si="9"/>
        <v/>
      </c>
      <c r="M261" s="31" t="str">
        <f>IF(OR(J261="",C261&lt;&gt;"League",L261&lt;&gt;"VALID"),"",COUNTIFS($J$6:J261,J261,$G$6:G261,G261,$C$6:C261,"League"))</f>
        <v/>
      </c>
      <c r="N261" s="31" t="str">
        <f t="shared" si="10"/>
        <v/>
      </c>
      <c r="O261" s="37" t="str">
        <f t="shared" si="11"/>
        <v/>
      </c>
    </row>
    <row r="262" spans="1:15" ht="30">
      <c r="A262" s="30">
        <v>55</v>
      </c>
      <c r="B262" s="31" t="s">
        <v>496</v>
      </c>
      <c r="C262" s="31" t="s">
        <v>473</v>
      </c>
      <c r="D262" s="31" t="s">
        <v>483</v>
      </c>
      <c r="E262" s="31" t="s">
        <v>472</v>
      </c>
      <c r="F262" s="31" t="str">
        <f>IF(H262=1,INDEX('Match Results'!$G$6:$G$185,MATCH(A262,'Match Results'!$A$6:$A$185,0)),INDEX('Match Results'!$H$6:$H$185,MATCH(A262,'Match Results'!$A$6:$A$185,0)))</f>
        <v>B1</v>
      </c>
      <c r="G262" s="31" t="str">
        <f>IF(H262=1,INDEX('Match Results'!$H$6:$H$185,MATCH(A262,'Match Results'!$A$6:$A$185,0)),INDEX('Match Results'!$G$6:$G$185,MATCH(A262,'Match Results'!$A$6:$A$185,0)))</f>
        <v>B4</v>
      </c>
      <c r="H262" s="31">
        <v>1</v>
      </c>
      <c r="I262" s="31">
        <v>1</v>
      </c>
      <c r="J262" s="48"/>
      <c r="K262" s="31" t="str">
        <f>IF(J262="","",IFERROR(INDEX('Team Rosters'!$C$6:$C$205,MATCH(J262,'Team Rosters'!$B$6:$B$205,0)),"CODE NOT FOUND"))</f>
        <v/>
      </c>
      <c r="L262" s="31" t="str">
        <f t="shared" ref="L262:L325" si="12">IF(J262="","",IF(AND(K262&lt;&gt;"",K262&lt;&gt;"CODE NOT FOUND",LEFT(J262,2)=F262),"VALID","CHECK ROSTER"))</f>
        <v/>
      </c>
      <c r="M262" s="31" t="str">
        <f>IF(OR(J262="",C262&lt;&gt;"League",L262&lt;&gt;"VALID"),"",COUNTIFS($J$6:J262,J262,$G$6:G262,G262,$C$6:C262,"League"))</f>
        <v/>
      </c>
      <c r="N262" s="31" t="str">
        <f t="shared" ref="N262:N325" si="13">IF(J262="","",IF(L262&lt;&gt;"VALID","CHECK ROSTER",IF(C262&lt;&gt;"League","NOT APPLICABLE",IF(M262&lt;=2,"OK","VIOLATION"))))</f>
        <v/>
      </c>
      <c r="O262" s="37" t="str">
        <f t="shared" ref="O262:O325" si="14">IF(N262="VIOLATION",K262&amp;" has played "&amp;M262&amp;" league matches against "&amp;G262&amp;"; limit is 2.","")</f>
        <v/>
      </c>
    </row>
    <row r="263" spans="1:15" ht="15">
      <c r="A263" s="30">
        <v>55</v>
      </c>
      <c r="B263" s="31" t="s">
        <v>496</v>
      </c>
      <c r="C263" s="31" t="s">
        <v>473</v>
      </c>
      <c r="D263" s="31" t="s">
        <v>483</v>
      </c>
      <c r="E263" s="31" t="s">
        <v>472</v>
      </c>
      <c r="F263" s="31" t="str">
        <f>IF(H263=1,INDEX('Match Results'!$G$6:$G$185,MATCH(A263,'Match Results'!$A$6:$A$185,0)),INDEX('Match Results'!$H$6:$H$185,MATCH(A263,'Match Results'!$A$6:$A$185,0)))</f>
        <v>B1</v>
      </c>
      <c r="G263" s="31" t="str">
        <f>IF(H263=1,INDEX('Match Results'!$H$6:$H$185,MATCH(A263,'Match Results'!$A$6:$A$185,0)),INDEX('Match Results'!$G$6:$G$185,MATCH(A263,'Match Results'!$A$6:$A$185,0)))</f>
        <v>B4</v>
      </c>
      <c r="H263" s="31">
        <v>1</v>
      </c>
      <c r="I263" s="31">
        <v>2</v>
      </c>
      <c r="J263" s="48"/>
      <c r="K263" s="31" t="str">
        <f>IF(J263="","",IFERROR(INDEX('Team Rosters'!$C$6:$C$205,MATCH(J263,'Team Rosters'!$B$6:$B$205,0)),"CODE NOT FOUND"))</f>
        <v/>
      </c>
      <c r="L263" s="31" t="str">
        <f t="shared" si="12"/>
        <v/>
      </c>
      <c r="M263" s="31" t="str">
        <f>IF(OR(J263="",C263&lt;&gt;"League",L263&lt;&gt;"VALID"),"",COUNTIFS($J$6:J263,J263,$G$6:G263,G263,$C$6:C263,"League"))</f>
        <v/>
      </c>
      <c r="N263" s="31" t="str">
        <f t="shared" si="13"/>
        <v/>
      </c>
      <c r="O263" s="37" t="str">
        <f t="shared" si="14"/>
        <v/>
      </c>
    </row>
    <row r="264" spans="1:15" ht="30">
      <c r="A264" s="30">
        <v>55</v>
      </c>
      <c r="B264" s="31" t="s">
        <v>496</v>
      </c>
      <c r="C264" s="31" t="s">
        <v>473</v>
      </c>
      <c r="D264" s="31" t="s">
        <v>483</v>
      </c>
      <c r="E264" s="31" t="s">
        <v>472</v>
      </c>
      <c r="F264" s="31" t="str">
        <f>IF(H264=1,INDEX('Match Results'!$G$6:$G$185,MATCH(A264,'Match Results'!$A$6:$A$185,0)),INDEX('Match Results'!$H$6:$H$185,MATCH(A264,'Match Results'!$A$6:$A$185,0)))</f>
        <v>B4</v>
      </c>
      <c r="G264" s="31" t="str">
        <f>IF(H264=1,INDEX('Match Results'!$H$6:$H$185,MATCH(A264,'Match Results'!$A$6:$A$185,0)),INDEX('Match Results'!$G$6:$G$185,MATCH(A264,'Match Results'!$A$6:$A$185,0)))</f>
        <v>B1</v>
      </c>
      <c r="H264" s="31">
        <v>2</v>
      </c>
      <c r="I264" s="31">
        <v>3</v>
      </c>
      <c r="J264" s="48"/>
      <c r="K264" s="31" t="str">
        <f>IF(J264="","",IFERROR(INDEX('Team Rosters'!$C$6:$C$205,MATCH(J264,'Team Rosters'!$B$6:$B$205,0)),"CODE NOT FOUND"))</f>
        <v/>
      </c>
      <c r="L264" s="31" t="str">
        <f t="shared" si="12"/>
        <v/>
      </c>
      <c r="M264" s="31" t="str">
        <f>IF(OR(J264="",C264&lt;&gt;"League",L264&lt;&gt;"VALID"),"",COUNTIFS($J$6:J264,J264,$G$6:G264,G264,$C$6:C264,"League"))</f>
        <v/>
      </c>
      <c r="N264" s="31" t="str">
        <f t="shared" si="13"/>
        <v/>
      </c>
      <c r="O264" s="37" t="str">
        <f t="shared" si="14"/>
        <v/>
      </c>
    </row>
    <row r="265" spans="1:15" ht="30">
      <c r="A265" s="30">
        <v>55</v>
      </c>
      <c r="B265" s="31" t="s">
        <v>496</v>
      </c>
      <c r="C265" s="31" t="s">
        <v>473</v>
      </c>
      <c r="D265" s="31" t="s">
        <v>483</v>
      </c>
      <c r="E265" s="31" t="s">
        <v>472</v>
      </c>
      <c r="F265" s="31" t="str">
        <f>IF(H265=1,INDEX('Match Results'!$G$6:$G$185,MATCH(A265,'Match Results'!$A$6:$A$185,0)),INDEX('Match Results'!$H$6:$H$185,MATCH(A265,'Match Results'!$A$6:$A$185,0)))</f>
        <v>B4</v>
      </c>
      <c r="G265" s="31" t="str">
        <f>IF(H265=1,INDEX('Match Results'!$H$6:$H$185,MATCH(A265,'Match Results'!$A$6:$A$185,0)),INDEX('Match Results'!$G$6:$G$185,MATCH(A265,'Match Results'!$A$6:$A$185,0)))</f>
        <v>B1</v>
      </c>
      <c r="H265" s="31">
        <v>2</v>
      </c>
      <c r="I265" s="31">
        <v>4</v>
      </c>
      <c r="J265" s="32"/>
      <c r="K265" s="31" t="str">
        <f>IF(J265="","",IFERROR(INDEX('Team Rosters'!$C$6:$C$205,MATCH(J265,'Team Rosters'!$B$6:$B$205,0)),"CODE NOT FOUND"))</f>
        <v/>
      </c>
      <c r="L265" s="31" t="str">
        <f t="shared" si="12"/>
        <v/>
      </c>
      <c r="M265" s="31" t="str">
        <f>IF(OR(J265="",C265&lt;&gt;"League",L265&lt;&gt;"VALID"),"",COUNTIFS($J$6:J265,J265,$G$6:G265,G265,$C$6:C265,"League"))</f>
        <v/>
      </c>
      <c r="N265" s="31" t="str">
        <f t="shared" si="13"/>
        <v/>
      </c>
      <c r="O265" s="37" t="str">
        <f t="shared" si="14"/>
        <v/>
      </c>
    </row>
    <row r="266" spans="1:15" ht="15">
      <c r="A266" s="30">
        <v>56</v>
      </c>
      <c r="B266" s="31" t="s">
        <v>496</v>
      </c>
      <c r="C266" s="31" t="s">
        <v>473</v>
      </c>
      <c r="D266" s="31" t="s">
        <v>483</v>
      </c>
      <c r="E266" s="31" t="s">
        <v>477</v>
      </c>
      <c r="F266" s="31" t="str">
        <f>IF(H266=1,INDEX('Match Results'!$G$6:$G$185,MATCH(A266,'Match Results'!$A$6:$A$185,0)),INDEX('Match Results'!$H$6:$H$185,MATCH(A266,'Match Results'!$A$6:$A$185,0)))</f>
        <v>B2</v>
      </c>
      <c r="G266" s="31" t="str">
        <f>IF(H266=1,INDEX('Match Results'!$H$6:$H$185,MATCH(A266,'Match Results'!$A$6:$A$185,0)),INDEX('Match Results'!$G$6:$G$185,MATCH(A266,'Match Results'!$A$6:$A$185,0)))</f>
        <v>B3</v>
      </c>
      <c r="H266" s="31">
        <v>1</v>
      </c>
      <c r="I266" s="31">
        <v>1</v>
      </c>
      <c r="J266" s="32"/>
      <c r="K266" s="31" t="str">
        <f>IF(J266="","",IFERROR(INDEX('Team Rosters'!$C$6:$C$205,MATCH(J266,'Team Rosters'!$B$6:$B$205,0)),"CODE NOT FOUND"))</f>
        <v/>
      </c>
      <c r="L266" s="31" t="str">
        <f t="shared" si="12"/>
        <v/>
      </c>
      <c r="M266" s="31" t="str">
        <f>IF(OR(J266="",C266&lt;&gt;"League",L266&lt;&gt;"VALID"),"",COUNTIFS($J$6:J266,J266,$G$6:G266,G266,$C$6:C266,"League"))</f>
        <v/>
      </c>
      <c r="N266" s="31" t="str">
        <f t="shared" si="13"/>
        <v/>
      </c>
      <c r="O266" s="37" t="str">
        <f t="shared" si="14"/>
        <v/>
      </c>
    </row>
    <row r="267" spans="1:15" ht="15">
      <c r="A267" s="30">
        <v>56</v>
      </c>
      <c r="B267" s="31" t="s">
        <v>496</v>
      </c>
      <c r="C267" s="31" t="s">
        <v>473</v>
      </c>
      <c r="D267" s="31" t="s">
        <v>483</v>
      </c>
      <c r="E267" s="31" t="s">
        <v>477</v>
      </c>
      <c r="F267" s="31" t="str">
        <f>IF(H267=1,INDEX('Match Results'!$G$6:$G$185,MATCH(A267,'Match Results'!$A$6:$A$185,0)),INDEX('Match Results'!$H$6:$H$185,MATCH(A267,'Match Results'!$A$6:$A$185,0)))</f>
        <v>B2</v>
      </c>
      <c r="G267" s="31" t="str">
        <f>IF(H267=1,INDEX('Match Results'!$H$6:$H$185,MATCH(A267,'Match Results'!$A$6:$A$185,0)),INDEX('Match Results'!$G$6:$G$185,MATCH(A267,'Match Results'!$A$6:$A$185,0)))</f>
        <v>B3</v>
      </c>
      <c r="H267" s="31">
        <v>1</v>
      </c>
      <c r="I267" s="31">
        <v>2</v>
      </c>
      <c r="J267" s="32"/>
      <c r="K267" s="31" t="str">
        <f>IF(J267="","",IFERROR(INDEX('Team Rosters'!$C$6:$C$205,MATCH(J267,'Team Rosters'!$B$6:$B$205,0)),"CODE NOT FOUND"))</f>
        <v/>
      </c>
      <c r="L267" s="31" t="str">
        <f t="shared" si="12"/>
        <v/>
      </c>
      <c r="M267" s="31" t="str">
        <f>IF(OR(J267="",C267&lt;&gt;"League",L267&lt;&gt;"VALID"),"",COUNTIFS($J$6:J267,J267,$G$6:G267,G267,$C$6:C267,"League"))</f>
        <v/>
      </c>
      <c r="N267" s="31" t="str">
        <f t="shared" si="13"/>
        <v/>
      </c>
      <c r="O267" s="37" t="str">
        <f t="shared" si="14"/>
        <v/>
      </c>
    </row>
    <row r="268" spans="1:15" ht="15">
      <c r="A268" s="30">
        <v>56</v>
      </c>
      <c r="B268" s="31" t="s">
        <v>496</v>
      </c>
      <c r="C268" s="31" t="s">
        <v>473</v>
      </c>
      <c r="D268" s="31" t="s">
        <v>483</v>
      </c>
      <c r="E268" s="31" t="s">
        <v>477</v>
      </c>
      <c r="F268" s="31" t="str">
        <f>IF(H268=1,INDEX('Match Results'!$G$6:$G$185,MATCH(A268,'Match Results'!$A$6:$A$185,0)),INDEX('Match Results'!$H$6:$H$185,MATCH(A268,'Match Results'!$A$6:$A$185,0)))</f>
        <v>B3</v>
      </c>
      <c r="G268" s="31" t="str">
        <f>IF(H268=1,INDEX('Match Results'!$H$6:$H$185,MATCH(A268,'Match Results'!$A$6:$A$185,0)),INDEX('Match Results'!$G$6:$G$185,MATCH(A268,'Match Results'!$A$6:$A$185,0)))</f>
        <v>B2</v>
      </c>
      <c r="H268" s="31">
        <v>2</v>
      </c>
      <c r="I268" s="31">
        <v>3</v>
      </c>
      <c r="J268" s="32"/>
      <c r="K268" s="31" t="str">
        <f>IF(J268="","",IFERROR(INDEX('Team Rosters'!$C$6:$C$205,MATCH(J268,'Team Rosters'!$B$6:$B$205,0)),"CODE NOT FOUND"))</f>
        <v/>
      </c>
      <c r="L268" s="31" t="str">
        <f t="shared" si="12"/>
        <v/>
      </c>
      <c r="M268" s="31" t="str">
        <f>IF(OR(J268="",C268&lt;&gt;"League",L268&lt;&gt;"VALID"),"",COUNTIFS($J$6:J268,J268,$G$6:G268,G268,$C$6:C268,"League"))</f>
        <v/>
      </c>
      <c r="N268" s="31" t="str">
        <f t="shared" si="13"/>
        <v/>
      </c>
      <c r="O268" s="37" t="str">
        <f t="shared" si="14"/>
        <v/>
      </c>
    </row>
    <row r="269" spans="1:15" ht="15">
      <c r="A269" s="30">
        <v>56</v>
      </c>
      <c r="B269" s="31" t="s">
        <v>496</v>
      </c>
      <c r="C269" s="31" t="s">
        <v>473</v>
      </c>
      <c r="D269" s="31" t="s">
        <v>483</v>
      </c>
      <c r="E269" s="31" t="s">
        <v>477</v>
      </c>
      <c r="F269" s="31" t="str">
        <f>IF(H269=1,INDEX('Match Results'!$G$6:$G$185,MATCH(A269,'Match Results'!$A$6:$A$185,0)),INDEX('Match Results'!$H$6:$H$185,MATCH(A269,'Match Results'!$A$6:$A$185,0)))</f>
        <v>B3</v>
      </c>
      <c r="G269" s="31" t="str">
        <f>IF(H269=1,INDEX('Match Results'!$H$6:$H$185,MATCH(A269,'Match Results'!$A$6:$A$185,0)),INDEX('Match Results'!$G$6:$G$185,MATCH(A269,'Match Results'!$A$6:$A$185,0)))</f>
        <v>B2</v>
      </c>
      <c r="H269" s="31">
        <v>2</v>
      </c>
      <c r="I269" s="31">
        <v>4</v>
      </c>
      <c r="J269" s="32"/>
      <c r="K269" s="31" t="str">
        <f>IF(J269="","",IFERROR(INDEX('Team Rosters'!$C$6:$C$205,MATCH(J269,'Team Rosters'!$B$6:$B$205,0)),"CODE NOT FOUND"))</f>
        <v/>
      </c>
      <c r="L269" s="31" t="str">
        <f t="shared" si="12"/>
        <v/>
      </c>
      <c r="M269" s="31" t="str">
        <f>IF(OR(J269="",C269&lt;&gt;"League",L269&lt;&gt;"VALID"),"",COUNTIFS($J$6:J269,J269,$G$6:G269,G269,$C$6:C269,"League"))</f>
        <v/>
      </c>
      <c r="N269" s="31" t="str">
        <f t="shared" si="13"/>
        <v/>
      </c>
      <c r="O269" s="37" t="str">
        <f t="shared" si="14"/>
        <v/>
      </c>
    </row>
    <row r="270" spans="1:15" ht="15">
      <c r="A270" s="30">
        <v>57</v>
      </c>
      <c r="B270" s="31" t="s">
        <v>496</v>
      </c>
      <c r="C270" s="31" t="s">
        <v>473</v>
      </c>
      <c r="D270" s="31" t="s">
        <v>486</v>
      </c>
      <c r="E270" s="31" t="s">
        <v>472</v>
      </c>
      <c r="F270" s="31" t="str">
        <f>IF(H270=1,INDEX('Match Results'!$G$6:$G$185,MATCH(A270,'Match Results'!$A$6:$A$185,0)),INDEX('Match Results'!$H$6:$H$185,MATCH(A270,'Match Results'!$A$6:$A$185,0)))</f>
        <v>A1</v>
      </c>
      <c r="G270" s="31" t="str">
        <f>IF(H270=1,INDEX('Match Results'!$H$6:$H$185,MATCH(A270,'Match Results'!$A$6:$A$185,0)),INDEX('Match Results'!$G$6:$G$185,MATCH(A270,'Match Results'!$A$6:$A$185,0)))</f>
        <v>A4</v>
      </c>
      <c r="H270" s="31">
        <v>1</v>
      </c>
      <c r="I270" s="31">
        <v>1</v>
      </c>
      <c r="J270" s="32"/>
      <c r="K270" s="31" t="str">
        <f>IF(J270="","",IFERROR(INDEX('Team Rosters'!$C$6:$C$205,MATCH(J270,'Team Rosters'!$B$6:$B$205,0)),"CODE NOT FOUND"))</f>
        <v/>
      </c>
      <c r="L270" s="31" t="str">
        <f>IF(J270="","",IF(AND(K270&lt;&gt;"",K270&lt;&gt;"CODE NOT FOUND",LEFT(J270,2)=F270),"VALID","CHECK ROSTER"))</f>
        <v/>
      </c>
      <c r="M270" s="31" t="str">
        <f>IF(OR(J270="",C270&lt;&gt;"League",L270&lt;&gt;"VALID"),"",COUNTIFS($J$6:J270,J270,$G$6:G270,G270,$C$6:C270,"League"))</f>
        <v/>
      </c>
      <c r="N270" s="31" t="str">
        <f>IF(J270="","",IF(L270&lt;&gt;"VALID","CHECK ROSTER",IF(C270&lt;&gt;"League","NOT APPLICABLE",IF(M270&lt;=2,"OK","VIOLATION"))))</f>
        <v/>
      </c>
      <c r="O270" s="37" t="str">
        <f>IF(N270="VIOLATION",K270&amp;" has played "&amp;M270&amp;" league matches against "&amp;G270&amp;"; limit is 2.","")</f>
        <v/>
      </c>
    </row>
    <row r="271" spans="1:15" ht="15">
      <c r="A271" s="30">
        <v>57</v>
      </c>
      <c r="B271" s="31" t="s">
        <v>496</v>
      </c>
      <c r="C271" s="31" t="s">
        <v>473</v>
      </c>
      <c r="D271" s="31" t="s">
        <v>486</v>
      </c>
      <c r="E271" s="31" t="s">
        <v>472</v>
      </c>
      <c r="F271" s="31" t="str">
        <f>IF(H271=1,INDEX('Match Results'!$G$6:$G$185,MATCH(A271,'Match Results'!$A$6:$A$185,0)),INDEX('Match Results'!$H$6:$H$185,MATCH(A271,'Match Results'!$A$6:$A$185,0)))</f>
        <v>A1</v>
      </c>
      <c r="G271" s="31" t="str">
        <f>IF(H271=1,INDEX('Match Results'!$H$6:$H$185,MATCH(A271,'Match Results'!$A$6:$A$185,0)),INDEX('Match Results'!$G$6:$G$185,MATCH(A271,'Match Results'!$A$6:$A$185,0)))</f>
        <v>A4</v>
      </c>
      <c r="H271" s="31">
        <v>1</v>
      </c>
      <c r="I271" s="31">
        <v>2</v>
      </c>
      <c r="J271" s="32"/>
      <c r="K271" s="31" t="str">
        <f>IF(J271="","",IFERROR(INDEX('Team Rosters'!$C$6:$C$205,MATCH(J271,'Team Rosters'!$B$6:$B$205,0)),"CODE NOT FOUND"))</f>
        <v/>
      </c>
      <c r="L271" s="31" t="str">
        <f t="shared" si="12"/>
        <v/>
      </c>
      <c r="M271" s="31" t="str">
        <f>IF(OR(J271="",C271&lt;&gt;"League",L271&lt;&gt;"VALID"),"",COUNTIFS($J$6:J271,J271,$G$6:G271,G271,$C$6:C271,"League"))</f>
        <v/>
      </c>
      <c r="N271" s="31" t="str">
        <f t="shared" si="13"/>
        <v/>
      </c>
      <c r="O271" s="37" t="str">
        <f t="shared" si="14"/>
        <v/>
      </c>
    </row>
    <row r="272" spans="1:15" ht="15">
      <c r="A272" s="30">
        <v>57</v>
      </c>
      <c r="B272" s="31" t="s">
        <v>496</v>
      </c>
      <c r="C272" s="31" t="s">
        <v>473</v>
      </c>
      <c r="D272" s="31" t="s">
        <v>486</v>
      </c>
      <c r="E272" s="31" t="s">
        <v>472</v>
      </c>
      <c r="F272" s="31" t="str">
        <f>IF(H272=1,INDEX('Match Results'!$G$6:$G$185,MATCH(A272,'Match Results'!$A$6:$A$185,0)),INDEX('Match Results'!$H$6:$H$185,MATCH(A272,'Match Results'!$A$6:$A$185,0)))</f>
        <v>A4</v>
      </c>
      <c r="G272" s="31" t="str">
        <f>IF(H272=1,INDEX('Match Results'!$H$6:$H$185,MATCH(A272,'Match Results'!$A$6:$A$185,0)),INDEX('Match Results'!$G$6:$G$185,MATCH(A272,'Match Results'!$A$6:$A$185,0)))</f>
        <v>A1</v>
      </c>
      <c r="H272" s="31">
        <v>2</v>
      </c>
      <c r="I272" s="31">
        <v>3</v>
      </c>
      <c r="J272" s="32"/>
      <c r="K272" s="31" t="str">
        <f>IF(J272="","",IFERROR(INDEX('Team Rosters'!$C$6:$C$205,MATCH(J272,'Team Rosters'!$B$6:$B$205,0)),"CODE NOT FOUND"))</f>
        <v/>
      </c>
      <c r="L272" s="31" t="str">
        <f t="shared" si="12"/>
        <v/>
      </c>
      <c r="M272" s="31" t="str">
        <f>IF(OR(J272="",C272&lt;&gt;"League",L272&lt;&gt;"VALID"),"",COUNTIFS($J$6:J272,J272,$G$6:G272,G272,$C$6:C272,"League"))</f>
        <v/>
      </c>
      <c r="N272" s="31" t="str">
        <f t="shared" si="13"/>
        <v/>
      </c>
      <c r="O272" s="37" t="str">
        <f t="shared" si="14"/>
        <v/>
      </c>
    </row>
    <row r="273" spans="1:15" ht="15">
      <c r="A273" s="30">
        <v>57</v>
      </c>
      <c r="B273" s="31" t="s">
        <v>496</v>
      </c>
      <c r="C273" s="31" t="s">
        <v>473</v>
      </c>
      <c r="D273" s="31" t="s">
        <v>486</v>
      </c>
      <c r="E273" s="31" t="s">
        <v>472</v>
      </c>
      <c r="F273" s="31" t="str">
        <f>IF(H273=1,INDEX('Match Results'!$G$6:$G$185,MATCH(A273,'Match Results'!$A$6:$A$185,0)),INDEX('Match Results'!$H$6:$H$185,MATCH(A273,'Match Results'!$A$6:$A$185,0)))</f>
        <v>A4</v>
      </c>
      <c r="G273" s="31" t="str">
        <f>IF(H273=1,INDEX('Match Results'!$H$6:$H$185,MATCH(A273,'Match Results'!$A$6:$A$185,0)),INDEX('Match Results'!$G$6:$G$185,MATCH(A273,'Match Results'!$A$6:$A$185,0)))</f>
        <v>A1</v>
      </c>
      <c r="H273" s="31">
        <v>2</v>
      </c>
      <c r="I273" s="31">
        <v>4</v>
      </c>
      <c r="J273" s="32"/>
      <c r="K273" s="31" t="str">
        <f>IF(J273="","",IFERROR(INDEX('Team Rosters'!$C$6:$C$205,MATCH(J273,'Team Rosters'!$B$6:$B$205,0)),"CODE NOT FOUND"))</f>
        <v/>
      </c>
      <c r="L273" s="31" t="str">
        <f t="shared" si="12"/>
        <v/>
      </c>
      <c r="M273" s="31" t="str">
        <f>IF(OR(J273="",C273&lt;&gt;"League",L273&lt;&gt;"VALID"),"",COUNTIFS($J$6:J273,J273,$G$6:G273,G273,$C$6:C273,"League"))</f>
        <v/>
      </c>
      <c r="N273" s="31" t="str">
        <f t="shared" si="13"/>
        <v/>
      </c>
      <c r="O273" s="37" t="str">
        <f t="shared" si="14"/>
        <v/>
      </c>
    </row>
    <row r="274" spans="1:15" ht="15">
      <c r="A274" s="30">
        <v>58</v>
      </c>
      <c r="B274" s="31" t="s">
        <v>496</v>
      </c>
      <c r="C274" s="31" t="s">
        <v>473</v>
      </c>
      <c r="D274" s="31" t="s">
        <v>486</v>
      </c>
      <c r="E274" s="31" t="s">
        <v>475</v>
      </c>
      <c r="F274" s="31" t="str">
        <f>IF(H274=1,INDEX('Match Results'!$G$6:$G$185,MATCH(A274,'Match Results'!$A$6:$A$185,0)),INDEX('Match Results'!$H$6:$H$185,MATCH(A274,'Match Results'!$A$6:$A$185,0)))</f>
        <v>A2</v>
      </c>
      <c r="G274" s="31" t="str">
        <f>IF(H274=1,INDEX('Match Results'!$H$6:$H$185,MATCH(A274,'Match Results'!$A$6:$A$185,0)),INDEX('Match Results'!$G$6:$G$185,MATCH(A274,'Match Results'!$A$6:$A$185,0)))</f>
        <v>A3</v>
      </c>
      <c r="H274" s="31">
        <v>1</v>
      </c>
      <c r="I274" s="31">
        <v>1</v>
      </c>
      <c r="J274" s="32"/>
      <c r="K274" s="31" t="str">
        <f>IF(J274="","",IFERROR(INDEX('Team Rosters'!$C$6:$C$205,MATCH(J274,'Team Rosters'!$B$6:$B$205,0)),"CODE NOT FOUND"))</f>
        <v/>
      </c>
      <c r="L274" s="31" t="str">
        <f t="shared" si="12"/>
        <v/>
      </c>
      <c r="M274" s="31" t="str">
        <f>IF(OR(J274="",C274&lt;&gt;"League",L274&lt;&gt;"VALID"),"",COUNTIFS($J$6:J274,J274,$G$6:G274,G274,$C$6:C274,"League"))</f>
        <v/>
      </c>
      <c r="N274" s="31" t="str">
        <f t="shared" si="13"/>
        <v/>
      </c>
      <c r="O274" s="37" t="str">
        <f t="shared" si="14"/>
        <v/>
      </c>
    </row>
    <row r="275" spans="1:15" ht="15">
      <c r="A275" s="30">
        <v>58</v>
      </c>
      <c r="B275" s="31" t="s">
        <v>496</v>
      </c>
      <c r="C275" s="31" t="s">
        <v>473</v>
      </c>
      <c r="D275" s="31" t="s">
        <v>486</v>
      </c>
      <c r="E275" s="31" t="s">
        <v>475</v>
      </c>
      <c r="F275" s="31" t="str">
        <f>IF(H275=1,INDEX('Match Results'!$G$6:$G$185,MATCH(A275,'Match Results'!$A$6:$A$185,0)),INDEX('Match Results'!$H$6:$H$185,MATCH(A275,'Match Results'!$A$6:$A$185,0)))</f>
        <v>A2</v>
      </c>
      <c r="G275" s="31" t="str">
        <f>IF(H275=1,INDEX('Match Results'!$H$6:$H$185,MATCH(A275,'Match Results'!$A$6:$A$185,0)),INDEX('Match Results'!$G$6:$G$185,MATCH(A275,'Match Results'!$A$6:$A$185,0)))</f>
        <v>A3</v>
      </c>
      <c r="H275" s="31">
        <v>1</v>
      </c>
      <c r="I275" s="31">
        <v>2</v>
      </c>
      <c r="J275" s="32"/>
      <c r="K275" s="31" t="str">
        <f>IF(J275="","",IFERROR(INDEX('Team Rosters'!$C$6:$C$205,MATCH(J275,'Team Rosters'!$B$6:$B$205,0)),"CODE NOT FOUND"))</f>
        <v/>
      </c>
      <c r="L275" s="31" t="str">
        <f t="shared" si="12"/>
        <v/>
      </c>
      <c r="M275" s="31" t="str">
        <f>IF(OR(J275="",C275&lt;&gt;"League",L275&lt;&gt;"VALID"),"",COUNTIFS($J$6:J275,J275,$G$6:G275,G275,$C$6:C275,"League"))</f>
        <v/>
      </c>
      <c r="N275" s="31" t="str">
        <f t="shared" si="13"/>
        <v/>
      </c>
      <c r="O275" s="37" t="str">
        <f t="shared" si="14"/>
        <v/>
      </c>
    </row>
    <row r="276" spans="1:15" ht="15">
      <c r="A276" s="30">
        <v>58</v>
      </c>
      <c r="B276" s="31" t="s">
        <v>496</v>
      </c>
      <c r="C276" s="31" t="s">
        <v>473</v>
      </c>
      <c r="D276" s="31" t="s">
        <v>486</v>
      </c>
      <c r="E276" s="31" t="s">
        <v>475</v>
      </c>
      <c r="F276" s="31" t="str">
        <f>IF(H276=1,INDEX('Match Results'!$G$6:$G$185,MATCH(A276,'Match Results'!$A$6:$A$185,0)),INDEX('Match Results'!$H$6:$H$185,MATCH(A276,'Match Results'!$A$6:$A$185,0)))</f>
        <v>A3</v>
      </c>
      <c r="G276" s="31" t="str">
        <f>IF(H276=1,INDEX('Match Results'!$H$6:$H$185,MATCH(A276,'Match Results'!$A$6:$A$185,0)),INDEX('Match Results'!$G$6:$G$185,MATCH(A276,'Match Results'!$A$6:$A$185,0)))</f>
        <v>A2</v>
      </c>
      <c r="H276" s="31">
        <v>2</v>
      </c>
      <c r="I276" s="31">
        <v>3</v>
      </c>
      <c r="J276" s="32"/>
      <c r="K276" s="31" t="str">
        <f>IF(J276="","",IFERROR(INDEX('Team Rosters'!$C$6:$C$205,MATCH(J276,'Team Rosters'!$B$6:$B$205,0)),"CODE NOT FOUND"))</f>
        <v/>
      </c>
      <c r="L276" s="31" t="str">
        <f t="shared" si="12"/>
        <v/>
      </c>
      <c r="M276" s="31" t="str">
        <f>IF(OR(J276="",C276&lt;&gt;"League",L276&lt;&gt;"VALID"),"",COUNTIFS($J$6:J276,J276,$G$6:G276,G276,$C$6:C276,"League"))</f>
        <v/>
      </c>
      <c r="N276" s="31" t="str">
        <f t="shared" si="13"/>
        <v/>
      </c>
      <c r="O276" s="37" t="str">
        <f t="shared" si="14"/>
        <v/>
      </c>
    </row>
    <row r="277" spans="1:15" ht="15">
      <c r="A277" s="30">
        <v>58</v>
      </c>
      <c r="B277" s="31" t="s">
        <v>496</v>
      </c>
      <c r="C277" s="31" t="s">
        <v>473</v>
      </c>
      <c r="D277" s="31" t="s">
        <v>486</v>
      </c>
      <c r="E277" s="31" t="s">
        <v>475</v>
      </c>
      <c r="F277" s="31" t="str">
        <f>IF(H277=1,INDEX('Match Results'!$G$6:$G$185,MATCH(A277,'Match Results'!$A$6:$A$185,0)),INDEX('Match Results'!$H$6:$H$185,MATCH(A277,'Match Results'!$A$6:$A$185,0)))</f>
        <v>A3</v>
      </c>
      <c r="G277" s="31" t="str">
        <f>IF(H277=1,INDEX('Match Results'!$H$6:$H$185,MATCH(A277,'Match Results'!$A$6:$A$185,0)),INDEX('Match Results'!$G$6:$G$185,MATCH(A277,'Match Results'!$A$6:$A$185,0)))</f>
        <v>A2</v>
      </c>
      <c r="H277" s="31">
        <v>2</v>
      </c>
      <c r="I277" s="31">
        <v>4</v>
      </c>
      <c r="J277" s="32"/>
      <c r="K277" s="31" t="str">
        <f>IF(J277="","",IFERROR(INDEX('Team Rosters'!$C$6:$C$205,MATCH(J277,'Team Rosters'!$B$6:$B$205,0)),"CODE NOT FOUND"))</f>
        <v/>
      </c>
      <c r="L277" s="31" t="str">
        <f t="shared" si="12"/>
        <v/>
      </c>
      <c r="M277" s="31" t="str">
        <f>IF(OR(J277="",C277&lt;&gt;"League",L277&lt;&gt;"VALID"),"",COUNTIFS($J$6:J277,J277,$G$6:G277,G277,$C$6:C277,"League"))</f>
        <v/>
      </c>
      <c r="N277" s="31" t="str">
        <f t="shared" si="13"/>
        <v/>
      </c>
      <c r="O277" s="37" t="str">
        <f t="shared" si="14"/>
        <v/>
      </c>
    </row>
    <row r="278" spans="1:15" ht="15">
      <c r="A278" s="30">
        <v>59</v>
      </c>
      <c r="B278" s="31" t="s">
        <v>496</v>
      </c>
      <c r="C278" s="31" t="s">
        <v>473</v>
      </c>
      <c r="D278" s="31" t="s">
        <v>486</v>
      </c>
      <c r="E278" s="31" t="s">
        <v>477</v>
      </c>
      <c r="F278" s="31" t="str">
        <f>IF(H278=1,INDEX('Match Results'!$G$6:$G$185,MATCH(A278,'Match Results'!$A$6:$A$185,0)),INDEX('Match Results'!$H$6:$H$185,MATCH(A278,'Match Results'!$A$6:$A$185,0)))</f>
        <v>B1</v>
      </c>
      <c r="G278" s="31" t="str">
        <f>IF(H278=1,INDEX('Match Results'!$H$6:$H$185,MATCH(A278,'Match Results'!$A$6:$A$185,0)),INDEX('Match Results'!$G$6:$G$185,MATCH(A278,'Match Results'!$A$6:$A$185,0)))</f>
        <v>B2</v>
      </c>
      <c r="H278" s="31">
        <v>1</v>
      </c>
      <c r="I278" s="31">
        <v>1</v>
      </c>
      <c r="J278" s="32"/>
      <c r="K278" s="31" t="str">
        <f>IF(J278="","",IFERROR(INDEX('Team Rosters'!$C$6:$C$205,MATCH(J278,'Team Rosters'!$B$6:$B$205,0)),"CODE NOT FOUND"))</f>
        <v/>
      </c>
      <c r="L278" s="31" t="str">
        <f t="shared" si="12"/>
        <v/>
      </c>
      <c r="M278" s="31" t="str">
        <f>IF(OR(J278="",C278&lt;&gt;"League",L278&lt;&gt;"VALID"),"",COUNTIFS($J$6:J278,J278,$G$6:G278,G278,$C$6:C278,"League"))</f>
        <v/>
      </c>
      <c r="N278" s="31" t="str">
        <f t="shared" si="13"/>
        <v/>
      </c>
      <c r="O278" s="37" t="str">
        <f t="shared" si="14"/>
        <v/>
      </c>
    </row>
    <row r="279" spans="1:15" ht="15">
      <c r="A279" s="30">
        <v>59</v>
      </c>
      <c r="B279" s="31" t="s">
        <v>496</v>
      </c>
      <c r="C279" s="31" t="s">
        <v>473</v>
      </c>
      <c r="D279" s="31" t="s">
        <v>486</v>
      </c>
      <c r="E279" s="31" t="s">
        <v>477</v>
      </c>
      <c r="F279" s="31" t="str">
        <f>IF(H279=1,INDEX('Match Results'!$G$6:$G$185,MATCH(A279,'Match Results'!$A$6:$A$185,0)),INDEX('Match Results'!$H$6:$H$185,MATCH(A279,'Match Results'!$A$6:$A$185,0)))</f>
        <v>B1</v>
      </c>
      <c r="G279" s="31" t="str">
        <f>IF(H279=1,INDEX('Match Results'!$H$6:$H$185,MATCH(A279,'Match Results'!$A$6:$A$185,0)),INDEX('Match Results'!$G$6:$G$185,MATCH(A279,'Match Results'!$A$6:$A$185,0)))</f>
        <v>B2</v>
      </c>
      <c r="H279" s="31">
        <v>1</v>
      </c>
      <c r="I279" s="31">
        <v>2</v>
      </c>
      <c r="J279" s="32"/>
      <c r="K279" s="31" t="str">
        <f>IF(J279="","",IFERROR(INDEX('Team Rosters'!$C$6:$C$205,MATCH(J279,'Team Rosters'!$B$6:$B$205,0)),"CODE NOT FOUND"))</f>
        <v/>
      </c>
      <c r="L279" s="31" t="str">
        <f t="shared" si="12"/>
        <v/>
      </c>
      <c r="M279" s="31" t="str">
        <f>IF(OR(J279="",C279&lt;&gt;"League",L279&lt;&gt;"VALID"),"",COUNTIFS($J$6:J279,J279,$G$6:G279,G279,$C$6:C279,"League"))</f>
        <v/>
      </c>
      <c r="N279" s="31" t="str">
        <f t="shared" si="13"/>
        <v/>
      </c>
      <c r="O279" s="37" t="str">
        <f t="shared" si="14"/>
        <v/>
      </c>
    </row>
    <row r="280" spans="1:15" ht="15">
      <c r="A280" s="30">
        <v>59</v>
      </c>
      <c r="B280" s="31" t="s">
        <v>496</v>
      </c>
      <c r="C280" s="31" t="s">
        <v>473</v>
      </c>
      <c r="D280" s="31" t="s">
        <v>486</v>
      </c>
      <c r="E280" s="31" t="s">
        <v>477</v>
      </c>
      <c r="F280" s="31" t="str">
        <f>IF(H280=1,INDEX('Match Results'!$G$6:$G$185,MATCH(A280,'Match Results'!$A$6:$A$185,0)),INDEX('Match Results'!$H$6:$H$185,MATCH(A280,'Match Results'!$A$6:$A$185,0)))</f>
        <v>B2</v>
      </c>
      <c r="G280" s="31" t="str">
        <f>IF(H280=1,INDEX('Match Results'!$H$6:$H$185,MATCH(A280,'Match Results'!$A$6:$A$185,0)),INDEX('Match Results'!$G$6:$G$185,MATCH(A280,'Match Results'!$A$6:$A$185,0)))</f>
        <v>B1</v>
      </c>
      <c r="H280" s="31">
        <v>2</v>
      </c>
      <c r="I280" s="31">
        <v>3</v>
      </c>
      <c r="J280" s="32"/>
      <c r="K280" s="31" t="str">
        <f>IF(J280="","",IFERROR(INDEX('Team Rosters'!$C$6:$C$205,MATCH(J280,'Team Rosters'!$B$6:$B$205,0)),"CODE NOT FOUND"))</f>
        <v/>
      </c>
      <c r="L280" s="31" t="str">
        <f t="shared" si="12"/>
        <v/>
      </c>
      <c r="M280" s="31" t="str">
        <f>IF(OR(J280="",C280&lt;&gt;"League",L280&lt;&gt;"VALID"),"",COUNTIFS($J$6:J280,J280,$G$6:G280,G280,$C$6:C280,"League"))</f>
        <v/>
      </c>
      <c r="N280" s="31" t="str">
        <f t="shared" si="13"/>
        <v/>
      </c>
      <c r="O280" s="37" t="str">
        <f t="shared" si="14"/>
        <v/>
      </c>
    </row>
    <row r="281" spans="1:15" ht="15">
      <c r="A281" s="30">
        <v>59</v>
      </c>
      <c r="B281" s="31" t="s">
        <v>496</v>
      </c>
      <c r="C281" s="31" t="s">
        <v>473</v>
      </c>
      <c r="D281" s="31" t="s">
        <v>486</v>
      </c>
      <c r="E281" s="31" t="s">
        <v>477</v>
      </c>
      <c r="F281" s="31" t="str">
        <f>IF(H281=1,INDEX('Match Results'!$G$6:$G$185,MATCH(A281,'Match Results'!$A$6:$A$185,0)),INDEX('Match Results'!$H$6:$H$185,MATCH(A281,'Match Results'!$A$6:$A$185,0)))</f>
        <v>B2</v>
      </c>
      <c r="G281" s="31" t="str">
        <f>IF(H281=1,INDEX('Match Results'!$H$6:$H$185,MATCH(A281,'Match Results'!$A$6:$A$185,0)),INDEX('Match Results'!$G$6:$G$185,MATCH(A281,'Match Results'!$A$6:$A$185,0)))</f>
        <v>B1</v>
      </c>
      <c r="H281" s="31">
        <v>2</v>
      </c>
      <c r="I281" s="31">
        <v>4</v>
      </c>
      <c r="J281" s="32"/>
      <c r="K281" s="31" t="str">
        <f>IF(J281="","",IFERROR(INDEX('Team Rosters'!$C$6:$C$205,MATCH(J281,'Team Rosters'!$B$6:$B$205,0)),"CODE NOT FOUND"))</f>
        <v/>
      </c>
      <c r="L281" s="31" t="str">
        <f t="shared" si="12"/>
        <v/>
      </c>
      <c r="M281" s="31" t="str">
        <f>IF(OR(J281="",C281&lt;&gt;"League",L281&lt;&gt;"VALID"),"",COUNTIFS($J$6:J281,J281,$G$6:G281,G281,$C$6:C281,"League"))</f>
        <v/>
      </c>
      <c r="N281" s="31" t="str">
        <f t="shared" si="13"/>
        <v/>
      </c>
      <c r="O281" s="37" t="str">
        <f t="shared" si="14"/>
        <v/>
      </c>
    </row>
    <row r="282" spans="1:15" ht="15">
      <c r="A282" s="30">
        <v>60</v>
      </c>
      <c r="B282" s="31" t="s">
        <v>496</v>
      </c>
      <c r="C282" s="31" t="s">
        <v>473</v>
      </c>
      <c r="D282" s="31" t="s">
        <v>490</v>
      </c>
      <c r="E282" s="31" t="s">
        <v>491</v>
      </c>
      <c r="F282" s="31" t="str">
        <f>IF(H282=1,INDEX('Match Results'!$G$6:$G$185,MATCH(A282,'Match Results'!$A$6:$A$185,0)),INDEX('Match Results'!$H$6:$H$185,MATCH(A282,'Match Results'!$A$6:$A$185,0)))</f>
        <v>B3</v>
      </c>
      <c r="G282" s="31" t="str">
        <f>IF(H282=1,INDEX('Match Results'!$H$6:$H$185,MATCH(A282,'Match Results'!$A$6:$A$185,0)),INDEX('Match Results'!$G$6:$G$185,MATCH(A282,'Match Results'!$A$6:$A$185,0)))</f>
        <v>B4</v>
      </c>
      <c r="H282" s="31">
        <v>1</v>
      </c>
      <c r="I282" s="31">
        <v>1</v>
      </c>
      <c r="J282" s="32"/>
      <c r="K282" s="31" t="str">
        <f>IF(J282="","",IFERROR(INDEX('Team Rosters'!$C$6:$C$205,MATCH(J282,'Team Rosters'!$B$6:$B$205,0)),"CODE NOT FOUND"))</f>
        <v/>
      </c>
      <c r="L282" s="31" t="str">
        <f t="shared" si="12"/>
        <v/>
      </c>
      <c r="M282" s="31" t="str">
        <f>IF(OR(J282="",C282&lt;&gt;"League",L282&lt;&gt;"VALID"),"",COUNTIFS($J$6:J282,J282,$G$6:G282,G282,$C$6:C282,"League"))</f>
        <v/>
      </c>
      <c r="N282" s="31" t="str">
        <f t="shared" si="13"/>
        <v/>
      </c>
      <c r="O282" s="37" t="str">
        <f t="shared" si="14"/>
        <v/>
      </c>
    </row>
    <row r="283" spans="1:15" ht="15">
      <c r="A283" s="30">
        <v>60</v>
      </c>
      <c r="B283" s="31" t="s">
        <v>496</v>
      </c>
      <c r="C283" s="31" t="s">
        <v>473</v>
      </c>
      <c r="D283" s="31" t="s">
        <v>490</v>
      </c>
      <c r="E283" s="31" t="s">
        <v>491</v>
      </c>
      <c r="F283" s="31" t="str">
        <f>IF(H283=1,INDEX('Match Results'!$G$6:$G$185,MATCH(A283,'Match Results'!$A$6:$A$185,0)),INDEX('Match Results'!$H$6:$H$185,MATCH(A283,'Match Results'!$A$6:$A$185,0)))</f>
        <v>B3</v>
      </c>
      <c r="G283" s="31" t="str">
        <f>IF(H283=1,INDEX('Match Results'!$H$6:$H$185,MATCH(A283,'Match Results'!$A$6:$A$185,0)),INDEX('Match Results'!$G$6:$G$185,MATCH(A283,'Match Results'!$A$6:$A$185,0)))</f>
        <v>B4</v>
      </c>
      <c r="H283" s="31">
        <v>1</v>
      </c>
      <c r="I283" s="31">
        <v>2</v>
      </c>
      <c r="J283" s="32"/>
      <c r="K283" s="31" t="str">
        <f>IF(J283="","",IFERROR(INDEX('Team Rosters'!$C$6:$C$205,MATCH(J283,'Team Rosters'!$B$6:$B$205,0)),"CODE NOT FOUND"))</f>
        <v/>
      </c>
      <c r="L283" s="31" t="str">
        <f t="shared" si="12"/>
        <v/>
      </c>
      <c r="M283" s="31" t="str">
        <f>IF(OR(J283="",C283&lt;&gt;"League",L283&lt;&gt;"VALID"),"",COUNTIFS($J$6:J283,J283,$G$6:G283,G283,$C$6:C283,"League"))</f>
        <v/>
      </c>
      <c r="N283" s="31" t="str">
        <f t="shared" si="13"/>
        <v/>
      </c>
      <c r="O283" s="37" t="str">
        <f t="shared" si="14"/>
        <v/>
      </c>
    </row>
    <row r="284" spans="1:15" ht="15">
      <c r="A284" s="30">
        <v>60</v>
      </c>
      <c r="B284" s="31" t="s">
        <v>496</v>
      </c>
      <c r="C284" s="31" t="s">
        <v>473</v>
      </c>
      <c r="D284" s="31" t="s">
        <v>490</v>
      </c>
      <c r="E284" s="31" t="s">
        <v>491</v>
      </c>
      <c r="F284" s="31" t="str">
        <f>IF(H284=1,INDEX('Match Results'!$G$6:$G$185,MATCH(A284,'Match Results'!$A$6:$A$185,0)),INDEX('Match Results'!$H$6:$H$185,MATCH(A284,'Match Results'!$A$6:$A$185,0)))</f>
        <v>B3</v>
      </c>
      <c r="G284" s="31" t="str">
        <f>IF(H284=1,INDEX('Match Results'!$H$6:$H$185,MATCH(A284,'Match Results'!$A$6:$A$185,0)),INDEX('Match Results'!$G$6:$G$185,MATCH(A284,'Match Results'!$A$6:$A$185,0)))</f>
        <v>B4</v>
      </c>
      <c r="H284" s="31">
        <v>1</v>
      </c>
      <c r="I284" s="31">
        <v>3</v>
      </c>
      <c r="J284" s="32"/>
      <c r="K284" s="31" t="str">
        <f>IF(J284="","",IFERROR(INDEX('Team Rosters'!$C$6:$C$205,MATCH(J284,'Team Rosters'!$B$6:$B$205,0)),"CODE NOT FOUND"))</f>
        <v/>
      </c>
      <c r="L284" s="31" t="str">
        <f t="shared" si="12"/>
        <v/>
      </c>
      <c r="M284" s="31" t="str">
        <f>IF(OR(J284="",C284&lt;&gt;"League",L284&lt;&gt;"VALID"),"",COUNTIFS($J$6:J284,J284,$G$6:G284,G284,$C$6:C284,"League"))</f>
        <v/>
      </c>
      <c r="N284" s="31" t="str">
        <f t="shared" si="13"/>
        <v/>
      </c>
      <c r="O284" s="37" t="str">
        <f t="shared" si="14"/>
        <v/>
      </c>
    </row>
    <row r="285" spans="1:15" ht="15">
      <c r="A285" s="30">
        <v>60</v>
      </c>
      <c r="B285" s="31" t="s">
        <v>496</v>
      </c>
      <c r="C285" s="31" t="s">
        <v>473</v>
      </c>
      <c r="D285" s="31" t="s">
        <v>490</v>
      </c>
      <c r="E285" s="31" t="s">
        <v>491</v>
      </c>
      <c r="F285" s="31" t="str">
        <f>IF(H285=1,INDEX('Match Results'!$G$6:$G$185,MATCH(A285,'Match Results'!$A$6:$A$185,0)),INDEX('Match Results'!$H$6:$H$185,MATCH(A285,'Match Results'!$A$6:$A$185,0)))</f>
        <v>B3</v>
      </c>
      <c r="G285" s="31" t="str">
        <f>IF(H285=1,INDEX('Match Results'!$H$6:$H$185,MATCH(A285,'Match Results'!$A$6:$A$185,0)),INDEX('Match Results'!$G$6:$G$185,MATCH(A285,'Match Results'!$A$6:$A$185,0)))</f>
        <v>B4</v>
      </c>
      <c r="H285" s="31">
        <v>1</v>
      </c>
      <c r="I285" s="31">
        <v>4</v>
      </c>
      <c r="J285" s="32"/>
      <c r="K285" s="31" t="str">
        <f>IF(J285="","",IFERROR(INDEX('Team Rosters'!$C$6:$C$205,MATCH(J285,'Team Rosters'!$B$6:$B$205,0)),"CODE NOT FOUND"))</f>
        <v/>
      </c>
      <c r="L285" s="31" t="str">
        <f t="shared" si="12"/>
        <v/>
      </c>
      <c r="M285" s="31" t="str">
        <f>IF(OR(J285="",C285&lt;&gt;"League",L285&lt;&gt;"VALID"),"",COUNTIFS($J$6:J285,J285,$G$6:G285,G285,$C$6:C285,"League"))</f>
        <v/>
      </c>
      <c r="N285" s="31" t="str">
        <f t="shared" si="13"/>
        <v/>
      </c>
      <c r="O285" s="37" t="str">
        <f t="shared" si="14"/>
        <v/>
      </c>
    </row>
    <row r="286" spans="1:15" ht="15">
      <c r="A286" s="30">
        <v>60</v>
      </c>
      <c r="B286" s="31" t="s">
        <v>496</v>
      </c>
      <c r="C286" s="31" t="s">
        <v>473</v>
      </c>
      <c r="D286" s="31" t="s">
        <v>490</v>
      </c>
      <c r="E286" s="31" t="s">
        <v>491</v>
      </c>
      <c r="F286" s="31" t="str">
        <f>IF(H286=1,INDEX('Match Results'!$G$6:$G$185,MATCH(A286,'Match Results'!$A$6:$A$185,0)),INDEX('Match Results'!$H$6:$H$185,MATCH(A286,'Match Results'!$A$6:$A$185,0)))</f>
        <v>B3</v>
      </c>
      <c r="G286" s="31" t="str">
        <f>IF(H286=1,INDEX('Match Results'!$H$6:$H$185,MATCH(A286,'Match Results'!$A$6:$A$185,0)),INDEX('Match Results'!$G$6:$G$185,MATCH(A286,'Match Results'!$A$6:$A$185,0)))</f>
        <v>B4</v>
      </c>
      <c r="H286" s="31">
        <v>1</v>
      </c>
      <c r="I286" s="31">
        <v>5</v>
      </c>
      <c r="J286" s="32"/>
      <c r="K286" s="31" t="str">
        <f>IF(J286="","",IFERROR(INDEX('Team Rosters'!$C$6:$C$205,MATCH(J286,'Team Rosters'!$B$6:$B$205,0)),"CODE NOT FOUND"))</f>
        <v/>
      </c>
      <c r="L286" s="31" t="str">
        <f t="shared" si="12"/>
        <v/>
      </c>
      <c r="M286" s="31" t="str">
        <f>IF(OR(J286="",C286&lt;&gt;"League",L286&lt;&gt;"VALID"),"",COUNTIFS($J$6:J286,J286,$G$6:G286,G286,$C$6:C286,"League"))</f>
        <v/>
      </c>
      <c r="N286" s="31" t="str">
        <f t="shared" si="13"/>
        <v/>
      </c>
      <c r="O286" s="37" t="str">
        <f t="shared" si="14"/>
        <v/>
      </c>
    </row>
    <row r="287" spans="1:15" ht="15">
      <c r="A287" s="30">
        <v>60</v>
      </c>
      <c r="B287" s="31" t="s">
        <v>496</v>
      </c>
      <c r="C287" s="31" t="s">
        <v>473</v>
      </c>
      <c r="D287" s="31" t="s">
        <v>490</v>
      </c>
      <c r="E287" s="31" t="s">
        <v>491</v>
      </c>
      <c r="F287" s="31" t="str">
        <f>IF(H287=1,INDEX('Match Results'!$G$6:$G$185,MATCH(A287,'Match Results'!$A$6:$A$185,0)),INDEX('Match Results'!$H$6:$H$185,MATCH(A287,'Match Results'!$A$6:$A$185,0)))</f>
        <v>B3</v>
      </c>
      <c r="G287" s="31" t="str">
        <f>IF(H287=1,INDEX('Match Results'!$H$6:$H$185,MATCH(A287,'Match Results'!$A$6:$A$185,0)),INDEX('Match Results'!$G$6:$G$185,MATCH(A287,'Match Results'!$A$6:$A$185,0)))</f>
        <v>B4</v>
      </c>
      <c r="H287" s="31">
        <v>1</v>
      </c>
      <c r="I287" s="31">
        <v>6</v>
      </c>
      <c r="J287" s="32"/>
      <c r="K287" s="31" t="str">
        <f>IF(J287="","",IFERROR(INDEX('Team Rosters'!$C$6:$C$205,MATCH(J287,'Team Rosters'!$B$6:$B$205,0)),"CODE NOT FOUND"))</f>
        <v/>
      </c>
      <c r="L287" s="31" t="str">
        <f t="shared" si="12"/>
        <v/>
      </c>
      <c r="M287" s="31" t="str">
        <f>IF(OR(J287="",C287&lt;&gt;"League",L287&lt;&gt;"VALID"),"",COUNTIFS($J$6:J287,J287,$G$6:G287,G287,$C$6:C287,"League"))</f>
        <v/>
      </c>
      <c r="N287" s="31" t="str">
        <f t="shared" si="13"/>
        <v/>
      </c>
      <c r="O287" s="37" t="str">
        <f t="shared" si="14"/>
        <v/>
      </c>
    </row>
    <row r="288" spans="1:15" ht="15">
      <c r="A288" s="30">
        <v>60</v>
      </c>
      <c r="B288" s="31" t="s">
        <v>496</v>
      </c>
      <c r="C288" s="31" t="s">
        <v>473</v>
      </c>
      <c r="D288" s="31" t="s">
        <v>490</v>
      </c>
      <c r="E288" s="31" t="s">
        <v>491</v>
      </c>
      <c r="F288" s="31" t="str">
        <f>IF(H288=1,INDEX('Match Results'!$G$6:$G$185,MATCH(A288,'Match Results'!$A$6:$A$185,0)),INDEX('Match Results'!$H$6:$H$185,MATCH(A288,'Match Results'!$A$6:$A$185,0)))</f>
        <v>B3</v>
      </c>
      <c r="G288" s="31" t="str">
        <f>IF(H288=1,INDEX('Match Results'!$H$6:$H$185,MATCH(A288,'Match Results'!$A$6:$A$185,0)),INDEX('Match Results'!$G$6:$G$185,MATCH(A288,'Match Results'!$A$6:$A$185,0)))</f>
        <v>B4</v>
      </c>
      <c r="H288" s="31">
        <v>1</v>
      </c>
      <c r="I288" s="31">
        <v>7</v>
      </c>
      <c r="J288" s="32"/>
      <c r="K288" s="31" t="str">
        <f>IF(J288="","",IFERROR(INDEX('Team Rosters'!$C$6:$C$205,MATCH(J288,'Team Rosters'!$B$6:$B$205,0)),"CODE NOT FOUND"))</f>
        <v/>
      </c>
      <c r="L288" s="31" t="str">
        <f t="shared" si="12"/>
        <v/>
      </c>
      <c r="M288" s="31" t="str">
        <f>IF(OR(J288="",C288&lt;&gt;"League",L288&lt;&gt;"VALID"),"",COUNTIFS($J$6:J288,J288,$G$6:G288,G288,$C$6:C288,"League"))</f>
        <v/>
      </c>
      <c r="N288" s="31" t="str">
        <f t="shared" si="13"/>
        <v/>
      </c>
      <c r="O288" s="37" t="str">
        <f t="shared" si="14"/>
        <v/>
      </c>
    </row>
    <row r="289" spans="1:15" ht="15">
      <c r="A289" s="30">
        <v>60</v>
      </c>
      <c r="B289" s="31" t="s">
        <v>496</v>
      </c>
      <c r="C289" s="31" t="s">
        <v>473</v>
      </c>
      <c r="D289" s="31" t="s">
        <v>490</v>
      </c>
      <c r="E289" s="31" t="s">
        <v>491</v>
      </c>
      <c r="F289" s="31" t="str">
        <f>IF(H289=1,INDEX('Match Results'!$G$6:$G$185,MATCH(A289,'Match Results'!$A$6:$A$185,0)),INDEX('Match Results'!$H$6:$H$185,MATCH(A289,'Match Results'!$A$6:$A$185,0)))</f>
        <v>B4</v>
      </c>
      <c r="G289" s="31" t="str">
        <f>IF(H289=1,INDEX('Match Results'!$H$6:$H$185,MATCH(A289,'Match Results'!$A$6:$A$185,0)),INDEX('Match Results'!$G$6:$G$185,MATCH(A289,'Match Results'!$A$6:$A$185,0)))</f>
        <v>B3</v>
      </c>
      <c r="H289" s="31">
        <v>2</v>
      </c>
      <c r="I289" s="31">
        <v>8</v>
      </c>
      <c r="J289" s="32"/>
      <c r="K289" s="31" t="str">
        <f>IF(J289="","",IFERROR(INDEX('Team Rosters'!$C$6:$C$205,MATCH(J289,'Team Rosters'!$B$6:$B$205,0)),"CODE NOT FOUND"))</f>
        <v/>
      </c>
      <c r="L289" s="31" t="str">
        <f t="shared" si="12"/>
        <v/>
      </c>
      <c r="M289" s="31" t="str">
        <f>IF(OR(J289="",C289&lt;&gt;"League",L289&lt;&gt;"VALID"),"",COUNTIFS($J$6:J289,J289,$G$6:G289,G289,$C$6:C289,"League"))</f>
        <v/>
      </c>
      <c r="N289" s="31" t="str">
        <f t="shared" si="13"/>
        <v/>
      </c>
      <c r="O289" s="37" t="str">
        <f t="shared" si="14"/>
        <v/>
      </c>
    </row>
    <row r="290" spans="1:15" ht="15">
      <c r="A290" s="30">
        <v>60</v>
      </c>
      <c r="B290" s="31" t="s">
        <v>496</v>
      </c>
      <c r="C290" s="31" t="s">
        <v>473</v>
      </c>
      <c r="D290" s="31" t="s">
        <v>490</v>
      </c>
      <c r="E290" s="31" t="s">
        <v>491</v>
      </c>
      <c r="F290" s="31" t="str">
        <f>IF(H290=1,INDEX('Match Results'!$G$6:$G$185,MATCH(A290,'Match Results'!$A$6:$A$185,0)),INDEX('Match Results'!$H$6:$H$185,MATCH(A290,'Match Results'!$A$6:$A$185,0)))</f>
        <v>B4</v>
      </c>
      <c r="G290" s="31" t="str">
        <f>IF(H290=1,INDEX('Match Results'!$H$6:$H$185,MATCH(A290,'Match Results'!$A$6:$A$185,0)),INDEX('Match Results'!$G$6:$G$185,MATCH(A290,'Match Results'!$A$6:$A$185,0)))</f>
        <v>B3</v>
      </c>
      <c r="H290" s="31">
        <v>2</v>
      </c>
      <c r="I290" s="31">
        <v>9</v>
      </c>
      <c r="J290" s="32"/>
      <c r="K290" s="31" t="str">
        <f>IF(J290="","",IFERROR(INDEX('Team Rosters'!$C$6:$C$205,MATCH(J290,'Team Rosters'!$B$6:$B$205,0)),"CODE NOT FOUND"))</f>
        <v/>
      </c>
      <c r="L290" s="31" t="str">
        <f t="shared" si="12"/>
        <v/>
      </c>
      <c r="M290" s="31" t="str">
        <f>IF(OR(J290="",C290&lt;&gt;"League",L290&lt;&gt;"VALID"),"",COUNTIFS($J$6:J290,J290,$G$6:G290,G290,$C$6:C290,"League"))</f>
        <v/>
      </c>
      <c r="N290" s="31" t="str">
        <f t="shared" si="13"/>
        <v/>
      </c>
      <c r="O290" s="37" t="str">
        <f t="shared" si="14"/>
        <v/>
      </c>
    </row>
    <row r="291" spans="1:15" ht="15">
      <c r="A291" s="30">
        <v>60</v>
      </c>
      <c r="B291" s="31" t="s">
        <v>496</v>
      </c>
      <c r="C291" s="31" t="s">
        <v>473</v>
      </c>
      <c r="D291" s="31" t="s">
        <v>490</v>
      </c>
      <c r="E291" s="31" t="s">
        <v>491</v>
      </c>
      <c r="F291" s="31" t="str">
        <f>IF(H291=1,INDEX('Match Results'!$G$6:$G$185,MATCH(A291,'Match Results'!$A$6:$A$185,0)),INDEX('Match Results'!$H$6:$H$185,MATCH(A291,'Match Results'!$A$6:$A$185,0)))</f>
        <v>B4</v>
      </c>
      <c r="G291" s="31" t="str">
        <f>IF(H291=1,INDEX('Match Results'!$H$6:$H$185,MATCH(A291,'Match Results'!$A$6:$A$185,0)),INDEX('Match Results'!$G$6:$G$185,MATCH(A291,'Match Results'!$A$6:$A$185,0)))</f>
        <v>B3</v>
      </c>
      <c r="H291" s="31">
        <v>2</v>
      </c>
      <c r="I291" s="31">
        <v>10</v>
      </c>
      <c r="J291" s="32"/>
      <c r="K291" s="31" t="str">
        <f>IF(J291="","",IFERROR(INDEX('Team Rosters'!$C$6:$C$205,MATCH(J291,'Team Rosters'!$B$6:$B$205,0)),"CODE NOT FOUND"))</f>
        <v/>
      </c>
      <c r="L291" s="31" t="str">
        <f t="shared" si="12"/>
        <v/>
      </c>
      <c r="M291" s="31" t="str">
        <f>IF(OR(J291="",C291&lt;&gt;"League",L291&lt;&gt;"VALID"),"",COUNTIFS($J$6:J291,J291,$G$6:G291,G291,$C$6:C291,"League"))</f>
        <v/>
      </c>
      <c r="N291" s="31" t="str">
        <f t="shared" si="13"/>
        <v/>
      </c>
      <c r="O291" s="37" t="str">
        <f t="shared" si="14"/>
        <v/>
      </c>
    </row>
    <row r="292" spans="1:15" ht="15">
      <c r="A292" s="30">
        <v>60</v>
      </c>
      <c r="B292" s="31" t="s">
        <v>496</v>
      </c>
      <c r="C292" s="31" t="s">
        <v>473</v>
      </c>
      <c r="D292" s="31" t="s">
        <v>490</v>
      </c>
      <c r="E292" s="31" t="s">
        <v>491</v>
      </c>
      <c r="F292" s="31" t="str">
        <f>IF(H292=1,INDEX('Match Results'!$G$6:$G$185,MATCH(A292,'Match Results'!$A$6:$A$185,0)),INDEX('Match Results'!$H$6:$H$185,MATCH(A292,'Match Results'!$A$6:$A$185,0)))</f>
        <v>B4</v>
      </c>
      <c r="G292" s="31" t="str">
        <f>IF(H292=1,INDEX('Match Results'!$H$6:$H$185,MATCH(A292,'Match Results'!$A$6:$A$185,0)),INDEX('Match Results'!$G$6:$G$185,MATCH(A292,'Match Results'!$A$6:$A$185,0)))</f>
        <v>B3</v>
      </c>
      <c r="H292" s="31">
        <v>2</v>
      </c>
      <c r="I292" s="31">
        <v>11</v>
      </c>
      <c r="J292" s="32"/>
      <c r="K292" s="31" t="str">
        <f>IF(J292="","",IFERROR(INDEX('Team Rosters'!$C$6:$C$205,MATCH(J292,'Team Rosters'!$B$6:$B$205,0)),"CODE NOT FOUND"))</f>
        <v/>
      </c>
      <c r="L292" s="31" t="str">
        <f t="shared" si="12"/>
        <v/>
      </c>
      <c r="M292" s="31" t="str">
        <f>IF(OR(J292="",C292&lt;&gt;"League",L292&lt;&gt;"VALID"),"",COUNTIFS($J$6:J292,J292,$G$6:G292,G292,$C$6:C292,"League"))</f>
        <v/>
      </c>
      <c r="N292" s="31" t="str">
        <f t="shared" si="13"/>
        <v/>
      </c>
      <c r="O292" s="37" t="str">
        <f t="shared" si="14"/>
        <v/>
      </c>
    </row>
    <row r="293" spans="1:15" ht="15">
      <c r="A293" s="30">
        <v>60</v>
      </c>
      <c r="B293" s="31" t="s">
        <v>496</v>
      </c>
      <c r="C293" s="31" t="s">
        <v>473</v>
      </c>
      <c r="D293" s="31" t="s">
        <v>490</v>
      </c>
      <c r="E293" s="31" t="s">
        <v>491</v>
      </c>
      <c r="F293" s="31" t="str">
        <f>IF(H293=1,INDEX('Match Results'!$G$6:$G$185,MATCH(A293,'Match Results'!$A$6:$A$185,0)),INDEX('Match Results'!$H$6:$H$185,MATCH(A293,'Match Results'!$A$6:$A$185,0)))</f>
        <v>B4</v>
      </c>
      <c r="G293" s="31" t="str">
        <f>IF(H293=1,INDEX('Match Results'!$H$6:$H$185,MATCH(A293,'Match Results'!$A$6:$A$185,0)),INDEX('Match Results'!$G$6:$G$185,MATCH(A293,'Match Results'!$A$6:$A$185,0)))</f>
        <v>B3</v>
      </c>
      <c r="H293" s="31">
        <v>2</v>
      </c>
      <c r="I293" s="31">
        <v>12</v>
      </c>
      <c r="J293" s="32"/>
      <c r="K293" s="31" t="str">
        <f>IF(J293="","",IFERROR(INDEX('Team Rosters'!$C$6:$C$205,MATCH(J293,'Team Rosters'!$B$6:$B$205,0)),"CODE NOT FOUND"))</f>
        <v/>
      </c>
      <c r="L293" s="31" t="str">
        <f t="shared" si="12"/>
        <v/>
      </c>
      <c r="M293" s="31" t="str">
        <f>IF(OR(J293="",C293&lt;&gt;"League",L293&lt;&gt;"VALID"),"",COUNTIFS($J$6:J293,J293,$G$6:G293,G293,$C$6:C293,"League"))</f>
        <v/>
      </c>
      <c r="N293" s="31" t="str">
        <f t="shared" si="13"/>
        <v/>
      </c>
      <c r="O293" s="37" t="str">
        <f t="shared" si="14"/>
        <v/>
      </c>
    </row>
    <row r="294" spans="1:15" ht="15">
      <c r="A294" s="30">
        <v>60</v>
      </c>
      <c r="B294" s="31" t="s">
        <v>496</v>
      </c>
      <c r="C294" s="31" t="s">
        <v>473</v>
      </c>
      <c r="D294" s="31" t="s">
        <v>490</v>
      </c>
      <c r="E294" s="31" t="s">
        <v>491</v>
      </c>
      <c r="F294" s="31" t="str">
        <f>IF(H294=1,INDEX('Match Results'!$G$6:$G$185,MATCH(A294,'Match Results'!$A$6:$A$185,0)),INDEX('Match Results'!$H$6:$H$185,MATCH(A294,'Match Results'!$A$6:$A$185,0)))</f>
        <v>B4</v>
      </c>
      <c r="G294" s="31" t="str">
        <f>IF(H294=1,INDEX('Match Results'!$H$6:$H$185,MATCH(A294,'Match Results'!$A$6:$A$185,0)),INDEX('Match Results'!$G$6:$G$185,MATCH(A294,'Match Results'!$A$6:$A$185,0)))</f>
        <v>B3</v>
      </c>
      <c r="H294" s="31">
        <v>2</v>
      </c>
      <c r="I294" s="31">
        <v>13</v>
      </c>
      <c r="J294" s="32"/>
      <c r="K294" s="31" t="str">
        <f>IF(J294="","",IFERROR(INDEX('Team Rosters'!$C$6:$C$205,MATCH(J294,'Team Rosters'!$B$6:$B$205,0)),"CODE NOT FOUND"))</f>
        <v/>
      </c>
      <c r="L294" s="31" t="str">
        <f t="shared" si="12"/>
        <v/>
      </c>
      <c r="M294" s="31" t="str">
        <f>IF(OR(J294="",C294&lt;&gt;"League",L294&lt;&gt;"VALID"),"",COUNTIFS($J$6:J294,J294,$G$6:G294,G294,$C$6:C294,"League"))</f>
        <v/>
      </c>
      <c r="N294" s="31" t="str">
        <f t="shared" si="13"/>
        <v/>
      </c>
      <c r="O294" s="37" t="str">
        <f t="shared" si="14"/>
        <v/>
      </c>
    </row>
    <row r="295" spans="1:15" ht="15">
      <c r="A295" s="30">
        <v>60</v>
      </c>
      <c r="B295" s="31" t="s">
        <v>496</v>
      </c>
      <c r="C295" s="31" t="s">
        <v>473</v>
      </c>
      <c r="D295" s="31" t="s">
        <v>490</v>
      </c>
      <c r="E295" s="31" t="s">
        <v>491</v>
      </c>
      <c r="F295" s="31" t="str">
        <f>IF(H295=1,INDEX('Match Results'!$G$6:$G$185,MATCH(A295,'Match Results'!$A$6:$A$185,0)),INDEX('Match Results'!$H$6:$H$185,MATCH(A295,'Match Results'!$A$6:$A$185,0)))</f>
        <v>B4</v>
      </c>
      <c r="G295" s="31" t="str">
        <f>IF(H295=1,INDEX('Match Results'!$H$6:$H$185,MATCH(A295,'Match Results'!$A$6:$A$185,0)),INDEX('Match Results'!$G$6:$G$185,MATCH(A295,'Match Results'!$A$6:$A$185,0)))</f>
        <v>B3</v>
      </c>
      <c r="H295" s="31">
        <v>2</v>
      </c>
      <c r="I295" s="31">
        <v>14</v>
      </c>
      <c r="J295" s="32"/>
      <c r="K295" s="31" t="str">
        <f>IF(J295="","",IFERROR(INDEX('Team Rosters'!$C$6:$C$205,MATCH(J295,'Team Rosters'!$B$6:$B$205,0)),"CODE NOT FOUND"))</f>
        <v/>
      </c>
      <c r="L295" s="31" t="str">
        <f t="shared" si="12"/>
        <v/>
      </c>
      <c r="M295" s="31" t="str">
        <f>IF(OR(J295="",C295&lt;&gt;"League",L295&lt;&gt;"VALID"),"",COUNTIFS($J$6:J295,J295,$G$6:G295,G295,$C$6:C295,"League"))</f>
        <v/>
      </c>
      <c r="N295" s="31" t="str">
        <f t="shared" si="13"/>
        <v/>
      </c>
      <c r="O295" s="37" t="str">
        <f t="shared" si="14"/>
        <v/>
      </c>
    </row>
    <row r="296" spans="1:15" ht="15">
      <c r="A296" s="30">
        <v>61</v>
      </c>
      <c r="B296" s="31" t="s">
        <v>497</v>
      </c>
      <c r="C296" s="31" t="s">
        <v>473</v>
      </c>
      <c r="D296" s="31" t="s">
        <v>471</v>
      </c>
      <c r="E296" s="31" t="s">
        <v>477</v>
      </c>
      <c r="F296" s="31" t="str">
        <f>IF(H296=1,INDEX('Match Results'!$G$6:$G$185,MATCH(A296,'Match Results'!$A$6:$A$185,0)),INDEX('Match Results'!$H$6:$H$185,MATCH(A296,'Match Results'!$A$6:$A$185,0)))</f>
        <v>A1</v>
      </c>
      <c r="G296" s="31" t="str">
        <f>IF(H296=1,INDEX('Match Results'!$H$6:$H$185,MATCH(A296,'Match Results'!$A$6:$A$185,0)),INDEX('Match Results'!$G$6:$G$185,MATCH(A296,'Match Results'!$A$6:$A$185,0)))</f>
        <v>A3</v>
      </c>
      <c r="H296" s="31">
        <v>1</v>
      </c>
      <c r="I296" s="31">
        <v>1</v>
      </c>
      <c r="J296" s="32"/>
      <c r="K296" s="31" t="str">
        <f>IF(J296="","",IFERROR(INDEX('Team Rosters'!$C$6:$C$205,MATCH(J296,'Team Rosters'!$B$6:$B$205,0)),"CODE NOT FOUND"))</f>
        <v/>
      </c>
      <c r="L296" s="31" t="str">
        <f t="shared" si="12"/>
        <v/>
      </c>
      <c r="M296" s="31" t="str">
        <f>IF(OR(J296="",C296&lt;&gt;"League",L296&lt;&gt;"VALID"),"",COUNTIFS($J$6:J296,J296,$G$6:G296,G296,$C$6:C296,"League"))</f>
        <v/>
      </c>
      <c r="N296" s="31" t="str">
        <f t="shared" si="13"/>
        <v/>
      </c>
      <c r="O296" s="37" t="str">
        <f t="shared" si="14"/>
        <v/>
      </c>
    </row>
    <row r="297" spans="1:15" ht="15">
      <c r="A297" s="30">
        <v>61</v>
      </c>
      <c r="B297" s="31" t="s">
        <v>497</v>
      </c>
      <c r="C297" s="31" t="s">
        <v>473</v>
      </c>
      <c r="D297" s="31" t="s">
        <v>471</v>
      </c>
      <c r="E297" s="31" t="s">
        <v>477</v>
      </c>
      <c r="F297" s="31" t="str">
        <f>IF(H297=1,INDEX('Match Results'!$G$6:$G$185,MATCH(A297,'Match Results'!$A$6:$A$185,0)),INDEX('Match Results'!$H$6:$H$185,MATCH(A297,'Match Results'!$A$6:$A$185,0)))</f>
        <v>A1</v>
      </c>
      <c r="G297" s="31" t="str">
        <f>IF(H297=1,INDEX('Match Results'!$H$6:$H$185,MATCH(A297,'Match Results'!$A$6:$A$185,0)),INDEX('Match Results'!$G$6:$G$185,MATCH(A297,'Match Results'!$A$6:$A$185,0)))</f>
        <v>A3</v>
      </c>
      <c r="H297" s="31">
        <v>1</v>
      </c>
      <c r="I297" s="31">
        <v>2</v>
      </c>
      <c r="J297" s="32"/>
      <c r="K297" s="31" t="str">
        <f>IF(J297="","",IFERROR(INDEX('Team Rosters'!$C$6:$C$205,MATCH(J297,'Team Rosters'!$B$6:$B$205,0)),"CODE NOT FOUND"))</f>
        <v/>
      </c>
      <c r="L297" s="31" t="str">
        <f t="shared" si="12"/>
        <v/>
      </c>
      <c r="M297" s="31" t="str">
        <f>IF(OR(J297="",C297&lt;&gt;"League",L297&lt;&gt;"VALID"),"",COUNTIFS($J$6:J297,J297,$G$6:G297,G297,$C$6:C297,"League"))</f>
        <v/>
      </c>
      <c r="N297" s="31" t="str">
        <f t="shared" si="13"/>
        <v/>
      </c>
      <c r="O297" s="37" t="str">
        <f t="shared" si="14"/>
        <v/>
      </c>
    </row>
    <row r="298" spans="1:15" ht="15">
      <c r="A298" s="30">
        <v>61</v>
      </c>
      <c r="B298" s="31" t="s">
        <v>497</v>
      </c>
      <c r="C298" s="31" t="s">
        <v>473</v>
      </c>
      <c r="D298" s="31" t="s">
        <v>471</v>
      </c>
      <c r="E298" s="31" t="s">
        <v>477</v>
      </c>
      <c r="F298" s="31" t="str">
        <f>IF(H298=1,INDEX('Match Results'!$G$6:$G$185,MATCH(A298,'Match Results'!$A$6:$A$185,0)),INDEX('Match Results'!$H$6:$H$185,MATCH(A298,'Match Results'!$A$6:$A$185,0)))</f>
        <v>A3</v>
      </c>
      <c r="G298" s="31" t="str">
        <f>IF(H298=1,INDEX('Match Results'!$H$6:$H$185,MATCH(A298,'Match Results'!$A$6:$A$185,0)),INDEX('Match Results'!$G$6:$G$185,MATCH(A298,'Match Results'!$A$6:$A$185,0)))</f>
        <v>A1</v>
      </c>
      <c r="H298" s="31">
        <v>2</v>
      </c>
      <c r="I298" s="31">
        <v>3</v>
      </c>
      <c r="J298" s="32"/>
      <c r="K298" s="31" t="str">
        <f>IF(J298="","",IFERROR(INDEX('Team Rosters'!$C$6:$C$205,MATCH(J298,'Team Rosters'!$B$6:$B$205,0)),"CODE NOT FOUND"))</f>
        <v/>
      </c>
      <c r="L298" s="31" t="str">
        <f t="shared" si="12"/>
        <v/>
      </c>
      <c r="M298" s="31" t="str">
        <f>IF(OR(J298="",C298&lt;&gt;"League",L298&lt;&gt;"VALID"),"",COUNTIFS($J$6:J298,J298,$G$6:G298,G298,$C$6:C298,"League"))</f>
        <v/>
      </c>
      <c r="N298" s="31" t="str">
        <f t="shared" si="13"/>
        <v/>
      </c>
      <c r="O298" s="37" t="str">
        <f t="shared" si="14"/>
        <v/>
      </c>
    </row>
    <row r="299" spans="1:15" ht="15">
      <c r="A299" s="30">
        <v>61</v>
      </c>
      <c r="B299" s="31" t="s">
        <v>497</v>
      </c>
      <c r="C299" s="31" t="s">
        <v>473</v>
      </c>
      <c r="D299" s="31" t="s">
        <v>471</v>
      </c>
      <c r="E299" s="31" t="s">
        <v>477</v>
      </c>
      <c r="F299" s="31" t="str">
        <f>IF(H299=1,INDEX('Match Results'!$G$6:$G$185,MATCH(A299,'Match Results'!$A$6:$A$185,0)),INDEX('Match Results'!$H$6:$H$185,MATCH(A299,'Match Results'!$A$6:$A$185,0)))</f>
        <v>A3</v>
      </c>
      <c r="G299" s="31" t="str">
        <f>IF(H299=1,INDEX('Match Results'!$H$6:$H$185,MATCH(A299,'Match Results'!$A$6:$A$185,0)),INDEX('Match Results'!$G$6:$G$185,MATCH(A299,'Match Results'!$A$6:$A$185,0)))</f>
        <v>A1</v>
      </c>
      <c r="H299" s="31">
        <v>2</v>
      </c>
      <c r="I299" s="31">
        <v>4</v>
      </c>
      <c r="J299" s="32"/>
      <c r="K299" s="31" t="str">
        <f>IF(J299="","",IFERROR(INDEX('Team Rosters'!$C$6:$C$205,MATCH(J299,'Team Rosters'!$B$6:$B$205,0)),"CODE NOT FOUND"))</f>
        <v/>
      </c>
      <c r="L299" s="31" t="str">
        <f t="shared" si="12"/>
        <v/>
      </c>
      <c r="M299" s="31" t="str">
        <f>IF(OR(J299="",C299&lt;&gt;"League",L299&lt;&gt;"VALID"),"",COUNTIFS($J$6:J299,J299,$G$6:G299,G299,$C$6:C299,"League"))</f>
        <v/>
      </c>
      <c r="N299" s="31" t="str">
        <f t="shared" si="13"/>
        <v/>
      </c>
      <c r="O299" s="37" t="str">
        <f t="shared" si="14"/>
        <v/>
      </c>
    </row>
    <row r="300" spans="1:15" ht="15">
      <c r="A300" s="30">
        <v>62</v>
      </c>
      <c r="B300" s="31" t="s">
        <v>497</v>
      </c>
      <c r="C300" s="31" t="s">
        <v>473</v>
      </c>
      <c r="D300" s="31" t="s">
        <v>471</v>
      </c>
      <c r="E300" s="31" t="s">
        <v>475</v>
      </c>
      <c r="F300" s="31" t="str">
        <f>IF(H300=1,INDEX('Match Results'!$G$6:$G$185,MATCH(A300,'Match Results'!$A$6:$A$185,0)),INDEX('Match Results'!$H$6:$H$185,MATCH(A300,'Match Results'!$A$6:$A$185,0)))</f>
        <v>A2</v>
      </c>
      <c r="G300" s="31" t="str">
        <f>IF(H300=1,INDEX('Match Results'!$H$6:$H$185,MATCH(A300,'Match Results'!$A$6:$A$185,0)),INDEX('Match Results'!$G$6:$G$185,MATCH(A300,'Match Results'!$A$6:$A$185,0)))</f>
        <v>A4</v>
      </c>
      <c r="H300" s="31">
        <v>1</v>
      </c>
      <c r="I300" s="31">
        <v>1</v>
      </c>
      <c r="J300" s="32"/>
      <c r="K300" s="31" t="str">
        <f>IF(J300="","",IFERROR(INDEX('Team Rosters'!$C$6:$C$205,MATCH(J300,'Team Rosters'!$B$6:$B$205,0)),"CODE NOT FOUND"))</f>
        <v/>
      </c>
      <c r="L300" s="31" t="str">
        <f t="shared" si="12"/>
        <v/>
      </c>
      <c r="M300" s="31" t="str">
        <f>IF(OR(J300="",C300&lt;&gt;"League",L300&lt;&gt;"VALID"),"",COUNTIFS($J$6:J300,J300,$G$6:G300,G300,$C$6:C300,"League"))</f>
        <v/>
      </c>
      <c r="N300" s="31" t="str">
        <f t="shared" si="13"/>
        <v/>
      </c>
      <c r="O300" s="37" t="str">
        <f t="shared" si="14"/>
        <v/>
      </c>
    </row>
    <row r="301" spans="1:15" ht="15">
      <c r="A301" s="30">
        <v>62</v>
      </c>
      <c r="B301" s="31" t="s">
        <v>497</v>
      </c>
      <c r="C301" s="31" t="s">
        <v>473</v>
      </c>
      <c r="D301" s="31" t="s">
        <v>471</v>
      </c>
      <c r="E301" s="31" t="s">
        <v>475</v>
      </c>
      <c r="F301" s="31" t="str">
        <f>IF(H301=1,INDEX('Match Results'!$G$6:$G$185,MATCH(A301,'Match Results'!$A$6:$A$185,0)),INDEX('Match Results'!$H$6:$H$185,MATCH(A301,'Match Results'!$A$6:$A$185,0)))</f>
        <v>A2</v>
      </c>
      <c r="G301" s="31" t="str">
        <f>IF(H301=1,INDEX('Match Results'!$H$6:$H$185,MATCH(A301,'Match Results'!$A$6:$A$185,0)),INDEX('Match Results'!$G$6:$G$185,MATCH(A301,'Match Results'!$A$6:$A$185,0)))</f>
        <v>A4</v>
      </c>
      <c r="H301" s="31">
        <v>1</v>
      </c>
      <c r="I301" s="31">
        <v>2</v>
      </c>
      <c r="J301" s="32"/>
      <c r="K301" s="31" t="str">
        <f>IF(J301="","",IFERROR(INDEX('Team Rosters'!$C$6:$C$205,MATCH(J301,'Team Rosters'!$B$6:$B$205,0)),"CODE NOT FOUND"))</f>
        <v/>
      </c>
      <c r="L301" s="31" t="str">
        <f t="shared" si="12"/>
        <v/>
      </c>
      <c r="M301" s="31" t="str">
        <f>IF(OR(J301="",C301&lt;&gt;"League",L301&lt;&gt;"VALID"),"",COUNTIFS($J$6:J301,J301,$G$6:G301,G301,$C$6:C301,"League"))</f>
        <v/>
      </c>
      <c r="N301" s="31" t="str">
        <f t="shared" si="13"/>
        <v/>
      </c>
      <c r="O301" s="37" t="str">
        <f t="shared" si="14"/>
        <v/>
      </c>
    </row>
    <row r="302" spans="1:15" ht="15">
      <c r="A302" s="30">
        <v>62</v>
      </c>
      <c r="B302" s="31" t="s">
        <v>497</v>
      </c>
      <c r="C302" s="31" t="s">
        <v>473</v>
      </c>
      <c r="D302" s="31" t="s">
        <v>471</v>
      </c>
      <c r="E302" s="31" t="s">
        <v>475</v>
      </c>
      <c r="F302" s="31" t="str">
        <f>IF(H302=1,INDEX('Match Results'!$G$6:$G$185,MATCH(A302,'Match Results'!$A$6:$A$185,0)),INDEX('Match Results'!$H$6:$H$185,MATCH(A302,'Match Results'!$A$6:$A$185,0)))</f>
        <v>A4</v>
      </c>
      <c r="G302" s="31" t="str">
        <f>IF(H302=1,INDEX('Match Results'!$H$6:$H$185,MATCH(A302,'Match Results'!$A$6:$A$185,0)),INDEX('Match Results'!$G$6:$G$185,MATCH(A302,'Match Results'!$A$6:$A$185,0)))</f>
        <v>A2</v>
      </c>
      <c r="H302" s="31">
        <v>2</v>
      </c>
      <c r="I302" s="31">
        <v>3</v>
      </c>
      <c r="J302" s="48"/>
      <c r="K302" s="31" t="str">
        <f>IF(J302="","",IFERROR(INDEX('Team Rosters'!$C$6:$C$205,MATCH(J302,'Team Rosters'!$B$6:$B$205,0)),"CODE NOT FOUND"))</f>
        <v/>
      </c>
      <c r="L302" s="31" t="str">
        <f t="shared" si="12"/>
        <v/>
      </c>
      <c r="M302" s="31" t="str">
        <f>IF(OR(J302="",C302&lt;&gt;"League",L302&lt;&gt;"VALID"),"",COUNTIFS($J$6:J302,J302,$G$6:G302,G302,$C$6:C302,"League"))</f>
        <v/>
      </c>
      <c r="N302" s="31" t="str">
        <f t="shared" si="13"/>
        <v/>
      </c>
      <c r="O302" s="37" t="str">
        <f t="shared" si="14"/>
        <v/>
      </c>
    </row>
    <row r="303" spans="1:15" ht="15">
      <c r="A303" s="30">
        <v>62</v>
      </c>
      <c r="B303" s="31" t="s">
        <v>497</v>
      </c>
      <c r="C303" s="31" t="s">
        <v>473</v>
      </c>
      <c r="D303" s="31" t="s">
        <v>471</v>
      </c>
      <c r="E303" s="31" t="s">
        <v>475</v>
      </c>
      <c r="F303" s="31" t="str">
        <f>IF(H303=1,INDEX('Match Results'!$G$6:$G$185,MATCH(A303,'Match Results'!$A$6:$A$185,0)),INDEX('Match Results'!$H$6:$H$185,MATCH(A303,'Match Results'!$A$6:$A$185,0)))</f>
        <v>A4</v>
      </c>
      <c r="G303" s="31" t="str">
        <f>IF(H303=1,INDEX('Match Results'!$H$6:$H$185,MATCH(A303,'Match Results'!$A$6:$A$185,0)),INDEX('Match Results'!$G$6:$G$185,MATCH(A303,'Match Results'!$A$6:$A$185,0)))</f>
        <v>A2</v>
      </c>
      <c r="H303" s="31">
        <v>2</v>
      </c>
      <c r="I303" s="31">
        <v>4</v>
      </c>
      <c r="J303" s="48"/>
      <c r="K303" s="31" t="str">
        <f>IF(J303="","",IFERROR(INDEX('Team Rosters'!$C$6:$C$205,MATCH(J303,'Team Rosters'!$B$6:$B$205,0)),"CODE NOT FOUND"))</f>
        <v/>
      </c>
      <c r="L303" s="31" t="str">
        <f t="shared" si="12"/>
        <v/>
      </c>
      <c r="M303" s="31" t="str">
        <f>IF(OR(J303="",C303&lt;&gt;"League",L303&lt;&gt;"VALID"),"",COUNTIFS($J$6:J303,J303,$G$6:G303,G303,$C$6:C303,"League"))</f>
        <v/>
      </c>
      <c r="N303" s="31" t="str">
        <f t="shared" si="13"/>
        <v/>
      </c>
      <c r="O303" s="37" t="str">
        <f t="shared" si="14"/>
        <v/>
      </c>
    </row>
    <row r="304" spans="1:15" ht="15">
      <c r="A304" s="30">
        <v>63</v>
      </c>
      <c r="B304" s="31" t="s">
        <v>497</v>
      </c>
      <c r="C304" s="31" t="s">
        <v>473</v>
      </c>
      <c r="D304" s="31" t="s">
        <v>471</v>
      </c>
      <c r="E304" s="31" t="s">
        <v>472</v>
      </c>
      <c r="F304" s="31" t="str">
        <f>IF(H304=1,INDEX('Match Results'!$G$6:$G$185,MATCH(A304,'Match Results'!$A$6:$A$185,0)),INDEX('Match Results'!$H$6:$H$185,MATCH(A304,'Match Results'!$A$6:$A$185,0)))</f>
        <v>B3</v>
      </c>
      <c r="G304" s="31" t="str">
        <f>IF(H304=1,INDEX('Match Results'!$H$6:$H$185,MATCH(A304,'Match Results'!$A$6:$A$185,0)),INDEX('Match Results'!$G$6:$G$185,MATCH(A304,'Match Results'!$A$6:$A$185,0)))</f>
        <v>B4</v>
      </c>
      <c r="H304" s="31">
        <v>1</v>
      </c>
      <c r="I304" s="31">
        <v>1</v>
      </c>
      <c r="J304" s="32"/>
      <c r="K304" s="31" t="str">
        <f>IF(J304="","",IFERROR(INDEX('Team Rosters'!$C$6:$C$205,MATCH(J304,'Team Rosters'!$B$6:$B$205,0)),"CODE NOT FOUND"))</f>
        <v/>
      </c>
      <c r="L304" s="31" t="str">
        <f t="shared" si="12"/>
        <v/>
      </c>
      <c r="M304" s="31" t="str">
        <f>IF(OR(J304="",C304&lt;&gt;"League",L304&lt;&gt;"VALID"),"",COUNTIFS($J$6:J304,J304,$G$6:G304,G304,$C$6:C304,"League"))</f>
        <v/>
      </c>
      <c r="N304" s="31" t="str">
        <f t="shared" si="13"/>
        <v/>
      </c>
      <c r="O304" s="37" t="str">
        <f t="shared" si="14"/>
        <v/>
      </c>
    </row>
    <row r="305" spans="1:15" ht="15">
      <c r="A305" s="30">
        <v>63</v>
      </c>
      <c r="B305" s="31" t="s">
        <v>497</v>
      </c>
      <c r="C305" s="31" t="s">
        <v>473</v>
      </c>
      <c r="D305" s="31" t="s">
        <v>471</v>
      </c>
      <c r="E305" s="31" t="s">
        <v>472</v>
      </c>
      <c r="F305" s="31" t="str">
        <f>IF(H305=1,INDEX('Match Results'!$G$6:$G$185,MATCH(A305,'Match Results'!$A$6:$A$185,0)),INDEX('Match Results'!$H$6:$H$185,MATCH(A305,'Match Results'!$A$6:$A$185,0)))</f>
        <v>B3</v>
      </c>
      <c r="G305" s="31" t="str">
        <f>IF(H305=1,INDEX('Match Results'!$H$6:$H$185,MATCH(A305,'Match Results'!$A$6:$A$185,0)),INDEX('Match Results'!$G$6:$G$185,MATCH(A305,'Match Results'!$A$6:$A$185,0)))</f>
        <v>B4</v>
      </c>
      <c r="H305" s="31">
        <v>1</v>
      </c>
      <c r="I305" s="31">
        <v>2</v>
      </c>
      <c r="J305" s="32"/>
      <c r="K305" s="31" t="str">
        <f>IF(J305="","",IFERROR(INDEX('Team Rosters'!$C$6:$C$205,MATCH(J305,'Team Rosters'!$B$6:$B$205,0)),"CODE NOT FOUND"))</f>
        <v/>
      </c>
      <c r="L305" s="31" t="str">
        <f t="shared" si="12"/>
        <v/>
      </c>
      <c r="M305" s="31" t="str">
        <f>IF(OR(J305="",C305&lt;&gt;"League",L305&lt;&gt;"VALID"),"",COUNTIFS($J$6:J305,J305,$G$6:G305,G305,$C$6:C305,"League"))</f>
        <v/>
      </c>
      <c r="N305" s="31" t="str">
        <f t="shared" si="13"/>
        <v/>
      </c>
      <c r="O305" s="37" t="str">
        <f t="shared" si="14"/>
        <v/>
      </c>
    </row>
    <row r="306" spans="1:15" ht="15">
      <c r="A306" s="30">
        <v>63</v>
      </c>
      <c r="B306" s="31" t="s">
        <v>497</v>
      </c>
      <c r="C306" s="31" t="s">
        <v>473</v>
      </c>
      <c r="D306" s="31" t="s">
        <v>471</v>
      </c>
      <c r="E306" s="31" t="s">
        <v>472</v>
      </c>
      <c r="F306" s="31" t="str">
        <f>IF(H306=1,INDEX('Match Results'!$G$6:$G$185,MATCH(A306,'Match Results'!$A$6:$A$185,0)),INDEX('Match Results'!$H$6:$H$185,MATCH(A306,'Match Results'!$A$6:$A$185,0)))</f>
        <v>B4</v>
      </c>
      <c r="G306" s="31" t="str">
        <f>IF(H306=1,INDEX('Match Results'!$H$6:$H$185,MATCH(A306,'Match Results'!$A$6:$A$185,0)),INDEX('Match Results'!$G$6:$G$185,MATCH(A306,'Match Results'!$A$6:$A$185,0)))</f>
        <v>B3</v>
      </c>
      <c r="H306" s="31">
        <v>2</v>
      </c>
      <c r="I306" s="31">
        <v>3</v>
      </c>
      <c r="J306" s="32"/>
      <c r="K306" s="31" t="str">
        <f>IF(J306="","",IFERROR(INDEX('Team Rosters'!$C$6:$C$205,MATCH(J306,'Team Rosters'!$B$6:$B$205,0)),"CODE NOT FOUND"))</f>
        <v/>
      </c>
      <c r="L306" s="31" t="str">
        <f t="shared" si="12"/>
        <v/>
      </c>
      <c r="M306" s="31" t="str">
        <f>IF(OR(J306="",C306&lt;&gt;"League",L306&lt;&gt;"VALID"),"",COUNTIFS($J$6:J306,J306,$G$6:G306,G306,$C$6:C306,"League"))</f>
        <v/>
      </c>
      <c r="N306" s="31" t="str">
        <f t="shared" si="13"/>
        <v/>
      </c>
      <c r="O306" s="37" t="str">
        <f t="shared" si="14"/>
        <v/>
      </c>
    </row>
    <row r="307" spans="1:15" ht="15">
      <c r="A307" s="30">
        <v>63</v>
      </c>
      <c r="B307" s="31" t="s">
        <v>497</v>
      </c>
      <c r="C307" s="31" t="s">
        <v>473</v>
      </c>
      <c r="D307" s="31" t="s">
        <v>471</v>
      </c>
      <c r="E307" s="31" t="s">
        <v>472</v>
      </c>
      <c r="F307" s="31" t="str">
        <f>IF(H307=1,INDEX('Match Results'!$G$6:$G$185,MATCH(A307,'Match Results'!$A$6:$A$185,0)),INDEX('Match Results'!$H$6:$H$185,MATCH(A307,'Match Results'!$A$6:$A$185,0)))</f>
        <v>B4</v>
      </c>
      <c r="G307" s="31" t="str">
        <f>IF(H307=1,INDEX('Match Results'!$H$6:$H$185,MATCH(A307,'Match Results'!$A$6:$A$185,0)),INDEX('Match Results'!$G$6:$G$185,MATCH(A307,'Match Results'!$A$6:$A$185,0)))</f>
        <v>B3</v>
      </c>
      <c r="H307" s="31">
        <v>2</v>
      </c>
      <c r="I307" s="31">
        <v>4</v>
      </c>
      <c r="J307" s="32"/>
      <c r="K307" s="31" t="str">
        <f>IF(J307="","",IFERROR(INDEX('Team Rosters'!$C$6:$C$205,MATCH(J307,'Team Rosters'!$B$6:$B$205,0)),"CODE NOT FOUND"))</f>
        <v/>
      </c>
      <c r="L307" s="31" t="str">
        <f t="shared" si="12"/>
        <v/>
      </c>
      <c r="M307" s="31" t="str">
        <f>IF(OR(J307="",C307&lt;&gt;"League",L307&lt;&gt;"VALID"),"",COUNTIFS($J$6:J307,J307,$G$6:G307,G307,$C$6:C307,"League"))</f>
        <v/>
      </c>
      <c r="N307" s="31" t="str">
        <f t="shared" si="13"/>
        <v/>
      </c>
      <c r="O307" s="37" t="str">
        <f t="shared" si="14"/>
        <v/>
      </c>
    </row>
    <row r="308" spans="1:15" ht="15">
      <c r="A308" s="30">
        <v>64</v>
      </c>
      <c r="B308" s="31" t="s">
        <v>497</v>
      </c>
      <c r="C308" s="31" t="s">
        <v>473</v>
      </c>
      <c r="D308" s="31" t="s">
        <v>479</v>
      </c>
      <c r="E308" s="31" t="s">
        <v>477</v>
      </c>
      <c r="F308" s="31" t="str">
        <f>IF(H308=1,INDEX('Match Results'!$G$6:$G$185,MATCH(A308,'Match Results'!$A$6:$A$185,0)),INDEX('Match Results'!$H$6:$H$185,MATCH(A308,'Match Results'!$A$6:$A$185,0)))</f>
        <v>A1</v>
      </c>
      <c r="G308" s="31" t="str">
        <f>IF(H308=1,INDEX('Match Results'!$H$6:$H$185,MATCH(A308,'Match Results'!$A$6:$A$185,0)),INDEX('Match Results'!$G$6:$G$185,MATCH(A308,'Match Results'!$A$6:$A$185,0)))</f>
        <v>A2</v>
      </c>
      <c r="H308" s="31">
        <v>1</v>
      </c>
      <c r="I308" s="31">
        <v>1</v>
      </c>
      <c r="J308" s="32"/>
      <c r="K308" s="31" t="str">
        <f>IF(J308="","",IFERROR(INDEX('Team Rosters'!$C$6:$C$205,MATCH(J308,'Team Rosters'!$B$6:$B$205,0)),"CODE NOT FOUND"))</f>
        <v/>
      </c>
      <c r="L308" s="31" t="str">
        <f t="shared" si="12"/>
        <v/>
      </c>
      <c r="M308" s="31" t="str">
        <f>IF(OR(J308="",C308&lt;&gt;"League",L308&lt;&gt;"VALID"),"",COUNTIFS($J$6:J308,J308,$G$6:G308,G308,$C$6:C308,"League"))</f>
        <v/>
      </c>
      <c r="N308" s="31" t="str">
        <f t="shared" si="13"/>
        <v/>
      </c>
      <c r="O308" s="37" t="str">
        <f t="shared" si="14"/>
        <v/>
      </c>
    </row>
    <row r="309" spans="1:15" ht="15">
      <c r="A309" s="30">
        <v>64</v>
      </c>
      <c r="B309" s="31" t="s">
        <v>497</v>
      </c>
      <c r="C309" s="31" t="s">
        <v>473</v>
      </c>
      <c r="D309" s="31" t="s">
        <v>479</v>
      </c>
      <c r="E309" s="31" t="s">
        <v>477</v>
      </c>
      <c r="F309" s="31" t="str">
        <f>IF(H309=1,INDEX('Match Results'!$G$6:$G$185,MATCH(A309,'Match Results'!$A$6:$A$185,0)),INDEX('Match Results'!$H$6:$H$185,MATCH(A309,'Match Results'!$A$6:$A$185,0)))</f>
        <v>A1</v>
      </c>
      <c r="G309" s="31" t="str">
        <f>IF(H309=1,INDEX('Match Results'!$H$6:$H$185,MATCH(A309,'Match Results'!$A$6:$A$185,0)),INDEX('Match Results'!$G$6:$G$185,MATCH(A309,'Match Results'!$A$6:$A$185,0)))</f>
        <v>A2</v>
      </c>
      <c r="H309" s="31">
        <v>1</v>
      </c>
      <c r="I309" s="31">
        <v>2</v>
      </c>
      <c r="J309" s="32"/>
      <c r="K309" s="31" t="str">
        <f>IF(J309="","",IFERROR(INDEX('Team Rosters'!$C$6:$C$205,MATCH(J309,'Team Rosters'!$B$6:$B$205,0)),"CODE NOT FOUND"))</f>
        <v/>
      </c>
      <c r="L309" s="31" t="str">
        <f t="shared" si="12"/>
        <v/>
      </c>
      <c r="M309" s="31" t="str">
        <f>IF(OR(J309="",C309&lt;&gt;"League",L309&lt;&gt;"VALID"),"",COUNTIFS($J$6:J309,J309,$G$6:G309,G309,$C$6:C309,"League"))</f>
        <v/>
      </c>
      <c r="N309" s="31" t="str">
        <f t="shared" si="13"/>
        <v/>
      </c>
      <c r="O309" s="37" t="str">
        <f t="shared" si="14"/>
        <v/>
      </c>
    </row>
    <row r="310" spans="1:15" ht="15">
      <c r="A310" s="30">
        <v>64</v>
      </c>
      <c r="B310" s="31" t="s">
        <v>497</v>
      </c>
      <c r="C310" s="31" t="s">
        <v>473</v>
      </c>
      <c r="D310" s="31" t="s">
        <v>479</v>
      </c>
      <c r="E310" s="31" t="s">
        <v>477</v>
      </c>
      <c r="F310" s="31" t="str">
        <f>IF(H310=1,INDEX('Match Results'!$G$6:$G$185,MATCH(A310,'Match Results'!$A$6:$A$185,0)),INDEX('Match Results'!$H$6:$H$185,MATCH(A310,'Match Results'!$A$6:$A$185,0)))</f>
        <v>A2</v>
      </c>
      <c r="G310" s="31" t="str">
        <f>IF(H310=1,INDEX('Match Results'!$H$6:$H$185,MATCH(A310,'Match Results'!$A$6:$A$185,0)),INDEX('Match Results'!$G$6:$G$185,MATCH(A310,'Match Results'!$A$6:$A$185,0)))</f>
        <v>A1</v>
      </c>
      <c r="H310" s="31">
        <v>2</v>
      </c>
      <c r="I310" s="31">
        <v>3</v>
      </c>
      <c r="J310" s="32"/>
      <c r="K310" s="31" t="str">
        <f>IF(J310="","",IFERROR(INDEX('Team Rosters'!$C$6:$C$205,MATCH(J310,'Team Rosters'!$B$6:$B$205,0)),"CODE NOT FOUND"))</f>
        <v/>
      </c>
      <c r="L310" s="31" t="str">
        <f t="shared" si="12"/>
        <v/>
      </c>
      <c r="M310" s="31" t="str">
        <f>IF(OR(J310="",C310&lt;&gt;"League",L310&lt;&gt;"VALID"),"",COUNTIFS($J$6:J310,J310,$G$6:G310,G310,$C$6:C310,"League"))</f>
        <v/>
      </c>
      <c r="N310" s="31" t="str">
        <f t="shared" si="13"/>
        <v/>
      </c>
      <c r="O310" s="37" t="str">
        <f t="shared" si="14"/>
        <v/>
      </c>
    </row>
    <row r="311" spans="1:15" ht="15">
      <c r="A311" s="30">
        <v>64</v>
      </c>
      <c r="B311" s="31" t="s">
        <v>497</v>
      </c>
      <c r="C311" s="31" t="s">
        <v>473</v>
      </c>
      <c r="D311" s="31" t="s">
        <v>479</v>
      </c>
      <c r="E311" s="31" t="s">
        <v>477</v>
      </c>
      <c r="F311" s="31" t="str">
        <f>IF(H311=1,INDEX('Match Results'!$G$6:$G$185,MATCH(A311,'Match Results'!$A$6:$A$185,0)),INDEX('Match Results'!$H$6:$H$185,MATCH(A311,'Match Results'!$A$6:$A$185,0)))</f>
        <v>A2</v>
      </c>
      <c r="G311" s="31" t="str">
        <f>IF(H311=1,INDEX('Match Results'!$H$6:$H$185,MATCH(A311,'Match Results'!$A$6:$A$185,0)),INDEX('Match Results'!$G$6:$G$185,MATCH(A311,'Match Results'!$A$6:$A$185,0)))</f>
        <v>A1</v>
      </c>
      <c r="H311" s="31">
        <v>2</v>
      </c>
      <c r="I311" s="31">
        <v>4</v>
      </c>
      <c r="J311" s="32"/>
      <c r="K311" s="31" t="str">
        <f>IF(J311="","",IFERROR(INDEX('Team Rosters'!$C$6:$C$205,MATCH(J311,'Team Rosters'!$B$6:$B$205,0)),"CODE NOT FOUND"))</f>
        <v/>
      </c>
      <c r="L311" s="31" t="str">
        <f t="shared" si="12"/>
        <v/>
      </c>
      <c r="M311" s="31" t="str">
        <f>IF(OR(J311="",C311&lt;&gt;"League",L311&lt;&gt;"VALID"),"",COUNTIFS($J$6:J311,J311,$G$6:G311,G311,$C$6:C311,"League"))</f>
        <v/>
      </c>
      <c r="N311" s="31" t="str">
        <f t="shared" si="13"/>
        <v/>
      </c>
      <c r="O311" s="37" t="str">
        <f t="shared" si="14"/>
        <v/>
      </c>
    </row>
    <row r="312" spans="1:15" ht="15">
      <c r="A312" s="30">
        <v>65</v>
      </c>
      <c r="B312" s="31" t="s">
        <v>497</v>
      </c>
      <c r="C312" s="31" t="s">
        <v>473</v>
      </c>
      <c r="D312" s="31" t="s">
        <v>479</v>
      </c>
      <c r="E312" s="31" t="s">
        <v>475</v>
      </c>
      <c r="F312" s="31" t="str">
        <f>IF(H312=1,INDEX('Match Results'!$G$6:$G$185,MATCH(A312,'Match Results'!$A$6:$A$185,0)),INDEX('Match Results'!$H$6:$H$185,MATCH(A312,'Match Results'!$A$6:$A$185,0)))</f>
        <v>B1</v>
      </c>
      <c r="G312" s="31" t="str">
        <f>IF(H312=1,INDEX('Match Results'!$H$6:$H$185,MATCH(A312,'Match Results'!$A$6:$A$185,0)),INDEX('Match Results'!$G$6:$G$185,MATCH(A312,'Match Results'!$A$6:$A$185,0)))</f>
        <v>B3</v>
      </c>
      <c r="H312" s="31">
        <v>1</v>
      </c>
      <c r="I312" s="31">
        <v>1</v>
      </c>
      <c r="J312" s="32"/>
      <c r="K312" s="31" t="str">
        <f>IF(J312="","",IFERROR(INDEX('Team Rosters'!$C$6:$C$205,MATCH(J312,'Team Rosters'!$B$6:$B$205,0)),"CODE NOT FOUND"))</f>
        <v/>
      </c>
      <c r="L312" s="31" t="str">
        <f t="shared" si="12"/>
        <v/>
      </c>
      <c r="M312" s="31" t="str">
        <f>IF(OR(J312="",C312&lt;&gt;"League",L312&lt;&gt;"VALID"),"",COUNTIFS($J$6:J312,J312,$G$6:G312,G312,$C$6:C312,"League"))</f>
        <v/>
      </c>
      <c r="N312" s="31" t="str">
        <f t="shared" si="13"/>
        <v/>
      </c>
      <c r="O312" s="37" t="str">
        <f t="shared" si="14"/>
        <v/>
      </c>
    </row>
    <row r="313" spans="1:15" ht="15">
      <c r="A313" s="30">
        <v>65</v>
      </c>
      <c r="B313" s="31" t="s">
        <v>497</v>
      </c>
      <c r="C313" s="31" t="s">
        <v>473</v>
      </c>
      <c r="D313" s="31" t="s">
        <v>479</v>
      </c>
      <c r="E313" s="31" t="s">
        <v>475</v>
      </c>
      <c r="F313" s="31" t="str">
        <f>IF(H313=1,INDEX('Match Results'!$G$6:$G$185,MATCH(A313,'Match Results'!$A$6:$A$185,0)),INDEX('Match Results'!$H$6:$H$185,MATCH(A313,'Match Results'!$A$6:$A$185,0)))</f>
        <v>B1</v>
      </c>
      <c r="G313" s="31" t="str">
        <f>IF(H313=1,INDEX('Match Results'!$H$6:$H$185,MATCH(A313,'Match Results'!$A$6:$A$185,0)),INDEX('Match Results'!$G$6:$G$185,MATCH(A313,'Match Results'!$A$6:$A$185,0)))</f>
        <v>B3</v>
      </c>
      <c r="H313" s="31">
        <v>1</v>
      </c>
      <c r="I313" s="31">
        <v>2</v>
      </c>
      <c r="J313" s="32"/>
      <c r="K313" s="31" t="str">
        <f>IF(J313="","",IFERROR(INDEX('Team Rosters'!$C$6:$C$205,MATCH(J313,'Team Rosters'!$B$6:$B$205,0)),"CODE NOT FOUND"))</f>
        <v/>
      </c>
      <c r="L313" s="31" t="str">
        <f t="shared" si="12"/>
        <v/>
      </c>
      <c r="M313" s="31" t="str">
        <f>IF(OR(J313="",C313&lt;&gt;"League",L313&lt;&gt;"VALID"),"",COUNTIFS($J$6:J313,J313,$G$6:G313,G313,$C$6:C313,"League"))</f>
        <v/>
      </c>
      <c r="N313" s="31" t="str">
        <f t="shared" si="13"/>
        <v/>
      </c>
      <c r="O313" s="37" t="str">
        <f t="shared" si="14"/>
        <v/>
      </c>
    </row>
    <row r="314" spans="1:15" ht="15">
      <c r="A314" s="30">
        <v>65</v>
      </c>
      <c r="B314" s="31" t="s">
        <v>497</v>
      </c>
      <c r="C314" s="31" t="s">
        <v>473</v>
      </c>
      <c r="D314" s="31" t="s">
        <v>479</v>
      </c>
      <c r="E314" s="31" t="s">
        <v>475</v>
      </c>
      <c r="F314" s="31" t="str">
        <f>IF(H314=1,INDEX('Match Results'!$G$6:$G$185,MATCH(A314,'Match Results'!$A$6:$A$185,0)),INDEX('Match Results'!$H$6:$H$185,MATCH(A314,'Match Results'!$A$6:$A$185,0)))</f>
        <v>B3</v>
      </c>
      <c r="G314" s="31" t="str">
        <f>IF(H314=1,INDEX('Match Results'!$H$6:$H$185,MATCH(A314,'Match Results'!$A$6:$A$185,0)),INDEX('Match Results'!$G$6:$G$185,MATCH(A314,'Match Results'!$A$6:$A$185,0)))</f>
        <v>B1</v>
      </c>
      <c r="H314" s="31">
        <v>2</v>
      </c>
      <c r="I314" s="31">
        <v>3</v>
      </c>
      <c r="J314" s="32"/>
      <c r="K314" s="31" t="str">
        <f>IF(J314="","",IFERROR(INDEX('Team Rosters'!$C$6:$C$205,MATCH(J314,'Team Rosters'!$B$6:$B$205,0)),"CODE NOT FOUND"))</f>
        <v/>
      </c>
      <c r="L314" s="31" t="str">
        <f t="shared" si="12"/>
        <v/>
      </c>
      <c r="M314" s="31" t="str">
        <f>IF(OR(J314="",C314&lt;&gt;"League",L314&lt;&gt;"VALID"),"",COUNTIFS($J$6:J314,J314,$G$6:G314,G314,$C$6:C314,"League"))</f>
        <v/>
      </c>
      <c r="N314" s="31" t="str">
        <f t="shared" si="13"/>
        <v/>
      </c>
      <c r="O314" s="37" t="str">
        <f t="shared" si="14"/>
        <v/>
      </c>
    </row>
    <row r="315" spans="1:15" ht="15">
      <c r="A315" s="30">
        <v>65</v>
      </c>
      <c r="B315" s="31" t="s">
        <v>497</v>
      </c>
      <c r="C315" s="31" t="s">
        <v>473</v>
      </c>
      <c r="D315" s="31" t="s">
        <v>479</v>
      </c>
      <c r="E315" s="31" t="s">
        <v>475</v>
      </c>
      <c r="F315" s="31" t="str">
        <f>IF(H315=1,INDEX('Match Results'!$G$6:$G$185,MATCH(A315,'Match Results'!$A$6:$A$185,0)),INDEX('Match Results'!$H$6:$H$185,MATCH(A315,'Match Results'!$A$6:$A$185,0)))</f>
        <v>B3</v>
      </c>
      <c r="G315" s="31" t="str">
        <f>IF(H315=1,INDEX('Match Results'!$H$6:$H$185,MATCH(A315,'Match Results'!$A$6:$A$185,0)),INDEX('Match Results'!$G$6:$G$185,MATCH(A315,'Match Results'!$A$6:$A$185,0)))</f>
        <v>B1</v>
      </c>
      <c r="H315" s="31">
        <v>2</v>
      </c>
      <c r="I315" s="31">
        <v>4</v>
      </c>
      <c r="J315" s="32"/>
      <c r="K315" s="31" t="str">
        <f>IF(J315="","",IFERROR(INDEX('Team Rosters'!$C$6:$C$205,MATCH(J315,'Team Rosters'!$B$6:$B$205,0)),"CODE NOT FOUND"))</f>
        <v/>
      </c>
      <c r="L315" s="31" t="str">
        <f t="shared" si="12"/>
        <v/>
      </c>
      <c r="M315" s="31" t="str">
        <f>IF(OR(J315="",C315&lt;&gt;"League",L315&lt;&gt;"VALID"),"",COUNTIFS($J$6:J315,J315,$G$6:G315,G315,$C$6:C315,"League"))</f>
        <v/>
      </c>
      <c r="N315" s="31" t="str">
        <f t="shared" si="13"/>
        <v/>
      </c>
      <c r="O315" s="37" t="str">
        <f t="shared" si="14"/>
        <v/>
      </c>
    </row>
    <row r="316" spans="1:15" ht="15">
      <c r="A316" s="30">
        <v>66</v>
      </c>
      <c r="B316" s="31" t="s">
        <v>497</v>
      </c>
      <c r="C316" s="31" t="s">
        <v>473</v>
      </c>
      <c r="D316" s="31" t="s">
        <v>479</v>
      </c>
      <c r="E316" s="31" t="s">
        <v>472</v>
      </c>
      <c r="F316" s="31" t="str">
        <f>IF(H316=1,INDEX('Match Results'!$G$6:$G$185,MATCH(A316,'Match Results'!$A$6:$A$185,0)),INDEX('Match Results'!$H$6:$H$185,MATCH(A316,'Match Results'!$A$6:$A$185,0)))</f>
        <v>B2</v>
      </c>
      <c r="G316" s="31" t="str">
        <f>IF(H316=1,INDEX('Match Results'!$H$6:$H$185,MATCH(A316,'Match Results'!$A$6:$A$185,0)),INDEX('Match Results'!$G$6:$G$185,MATCH(A316,'Match Results'!$A$6:$A$185,0)))</f>
        <v>B4</v>
      </c>
      <c r="H316" s="31">
        <v>1</v>
      </c>
      <c r="I316" s="31">
        <v>1</v>
      </c>
      <c r="J316" s="32"/>
      <c r="K316" s="31" t="str">
        <f>IF(J316="","",IFERROR(INDEX('Team Rosters'!$C$6:$C$205,MATCH(J316,'Team Rosters'!$B$6:$B$205,0)),"CODE NOT FOUND"))</f>
        <v/>
      </c>
      <c r="L316" s="31" t="str">
        <f t="shared" si="12"/>
        <v/>
      </c>
      <c r="M316" s="31" t="str">
        <f>IF(OR(J316="",C316&lt;&gt;"League",L316&lt;&gt;"VALID"),"",COUNTIFS($J$6:J316,J316,$G$6:G316,G316,$C$6:C316,"League"))</f>
        <v/>
      </c>
      <c r="N316" s="31" t="str">
        <f t="shared" si="13"/>
        <v/>
      </c>
      <c r="O316" s="37" t="str">
        <f t="shared" si="14"/>
        <v/>
      </c>
    </row>
    <row r="317" spans="1:15" ht="15">
      <c r="A317" s="30">
        <v>66</v>
      </c>
      <c r="B317" s="31" t="s">
        <v>497</v>
      </c>
      <c r="C317" s="31" t="s">
        <v>473</v>
      </c>
      <c r="D317" s="31" t="s">
        <v>479</v>
      </c>
      <c r="E317" s="31" t="s">
        <v>472</v>
      </c>
      <c r="F317" s="31" t="str">
        <f>IF(H317=1,INDEX('Match Results'!$G$6:$G$185,MATCH(A317,'Match Results'!$A$6:$A$185,0)),INDEX('Match Results'!$H$6:$H$185,MATCH(A317,'Match Results'!$A$6:$A$185,0)))</f>
        <v>B2</v>
      </c>
      <c r="G317" s="31" t="str">
        <f>IF(H317=1,INDEX('Match Results'!$H$6:$H$185,MATCH(A317,'Match Results'!$A$6:$A$185,0)),INDEX('Match Results'!$G$6:$G$185,MATCH(A317,'Match Results'!$A$6:$A$185,0)))</f>
        <v>B4</v>
      </c>
      <c r="H317" s="31">
        <v>1</v>
      </c>
      <c r="I317" s="31">
        <v>2</v>
      </c>
      <c r="J317" s="32"/>
      <c r="K317" s="31" t="str">
        <f>IF(J317="","",IFERROR(INDEX('Team Rosters'!$C$6:$C$205,MATCH(J317,'Team Rosters'!$B$6:$B$205,0)),"CODE NOT FOUND"))</f>
        <v/>
      </c>
      <c r="L317" s="31" t="str">
        <f t="shared" si="12"/>
        <v/>
      </c>
      <c r="M317" s="31" t="str">
        <f>IF(OR(J317="",C317&lt;&gt;"League",L317&lt;&gt;"VALID"),"",COUNTIFS($J$6:J317,J317,$G$6:G317,G317,$C$6:C317,"League"))</f>
        <v/>
      </c>
      <c r="N317" s="31" t="str">
        <f t="shared" si="13"/>
        <v/>
      </c>
      <c r="O317" s="37" t="str">
        <f t="shared" si="14"/>
        <v/>
      </c>
    </row>
    <row r="318" spans="1:15" ht="15">
      <c r="A318" s="30">
        <v>66</v>
      </c>
      <c r="B318" s="31" t="s">
        <v>497</v>
      </c>
      <c r="C318" s="31" t="s">
        <v>473</v>
      </c>
      <c r="D318" s="31" t="s">
        <v>479</v>
      </c>
      <c r="E318" s="31" t="s">
        <v>472</v>
      </c>
      <c r="F318" s="31" t="str">
        <f>IF(H318=1,INDEX('Match Results'!$G$6:$G$185,MATCH(A318,'Match Results'!$A$6:$A$185,0)),INDEX('Match Results'!$H$6:$H$185,MATCH(A318,'Match Results'!$A$6:$A$185,0)))</f>
        <v>B4</v>
      </c>
      <c r="G318" s="31" t="str">
        <f>IF(H318=1,INDEX('Match Results'!$H$6:$H$185,MATCH(A318,'Match Results'!$A$6:$A$185,0)),INDEX('Match Results'!$G$6:$G$185,MATCH(A318,'Match Results'!$A$6:$A$185,0)))</f>
        <v>B2</v>
      </c>
      <c r="H318" s="31">
        <v>2</v>
      </c>
      <c r="I318" s="31">
        <v>3</v>
      </c>
      <c r="J318" s="32"/>
      <c r="K318" s="31" t="str">
        <f>IF(J318="","",IFERROR(INDEX('Team Rosters'!$C$6:$C$205,MATCH(J318,'Team Rosters'!$B$6:$B$205,0)),"CODE NOT FOUND"))</f>
        <v/>
      </c>
      <c r="L318" s="31" t="str">
        <f t="shared" si="12"/>
        <v/>
      </c>
      <c r="M318" s="31" t="str">
        <f>IF(OR(J318="",C318&lt;&gt;"League",L318&lt;&gt;"VALID"),"",COUNTIFS($J$6:J318,J318,$G$6:G318,G318,$C$6:C318,"League"))</f>
        <v/>
      </c>
      <c r="N318" s="31" t="str">
        <f t="shared" si="13"/>
        <v/>
      </c>
      <c r="O318" s="37" t="str">
        <f t="shared" si="14"/>
        <v/>
      </c>
    </row>
    <row r="319" spans="1:15" ht="15">
      <c r="A319" s="30">
        <v>66</v>
      </c>
      <c r="B319" s="31" t="s">
        <v>497</v>
      </c>
      <c r="C319" s="31" t="s">
        <v>473</v>
      </c>
      <c r="D319" s="31" t="s">
        <v>479</v>
      </c>
      <c r="E319" s="31" t="s">
        <v>472</v>
      </c>
      <c r="F319" s="31" t="str">
        <f>IF(H319=1,INDEX('Match Results'!$G$6:$G$185,MATCH(A319,'Match Results'!$A$6:$A$185,0)),INDEX('Match Results'!$H$6:$H$185,MATCH(A319,'Match Results'!$A$6:$A$185,0)))</f>
        <v>B4</v>
      </c>
      <c r="G319" s="31" t="str">
        <f>IF(H319=1,INDEX('Match Results'!$H$6:$H$185,MATCH(A319,'Match Results'!$A$6:$A$185,0)),INDEX('Match Results'!$G$6:$G$185,MATCH(A319,'Match Results'!$A$6:$A$185,0)))</f>
        <v>B2</v>
      </c>
      <c r="H319" s="31">
        <v>2</v>
      </c>
      <c r="I319" s="31">
        <v>4</v>
      </c>
      <c r="J319" s="32"/>
      <c r="K319" s="31" t="str">
        <f>IF(J319="","",IFERROR(INDEX('Team Rosters'!$C$6:$C$205,MATCH(J319,'Team Rosters'!$B$6:$B$205,0)),"CODE NOT FOUND"))</f>
        <v/>
      </c>
      <c r="L319" s="31" t="str">
        <f t="shared" si="12"/>
        <v/>
      </c>
      <c r="M319" s="31" t="str">
        <f>IF(OR(J319="",C319&lt;&gt;"League",L319&lt;&gt;"VALID"),"",COUNTIFS($J$6:J319,J319,$G$6:G319,G319,$C$6:C319,"League"))</f>
        <v/>
      </c>
      <c r="N319" s="31" t="str">
        <f t="shared" si="13"/>
        <v/>
      </c>
      <c r="O319" s="37" t="str">
        <f t="shared" si="14"/>
        <v/>
      </c>
    </row>
    <row r="320" spans="1:15" ht="15">
      <c r="A320" s="30">
        <v>67</v>
      </c>
      <c r="B320" s="31" t="s">
        <v>497</v>
      </c>
      <c r="C320" s="31" t="s">
        <v>473</v>
      </c>
      <c r="D320" s="31" t="s">
        <v>483</v>
      </c>
      <c r="E320" s="31" t="s">
        <v>472</v>
      </c>
      <c r="F320" s="31" t="str">
        <f>IF(H320=1,INDEX('Match Results'!$G$6:$G$185,MATCH(A320,'Match Results'!$A$6:$A$185,0)),INDEX('Match Results'!$H$6:$H$185,MATCH(A320,'Match Results'!$A$6:$A$185,0)))</f>
        <v>A3</v>
      </c>
      <c r="G320" s="31" t="str">
        <f>IF(H320=1,INDEX('Match Results'!$H$6:$H$185,MATCH(A320,'Match Results'!$A$6:$A$185,0)),INDEX('Match Results'!$G$6:$G$185,MATCH(A320,'Match Results'!$A$6:$A$185,0)))</f>
        <v>A4</v>
      </c>
      <c r="H320" s="31">
        <v>1</v>
      </c>
      <c r="I320" s="31">
        <v>1</v>
      </c>
      <c r="J320" s="32"/>
      <c r="K320" s="31" t="str">
        <f>IF(J320="","",IFERROR(INDEX('Team Rosters'!$C$6:$C$205,MATCH(J320,'Team Rosters'!$B$6:$B$205,0)),"CODE NOT FOUND"))</f>
        <v/>
      </c>
      <c r="L320" s="31" t="str">
        <f t="shared" si="12"/>
        <v/>
      </c>
      <c r="M320" s="31" t="str">
        <f>IF(OR(J320="",C320&lt;&gt;"League",L320&lt;&gt;"VALID"),"",COUNTIFS($J$6:J320,J320,$G$6:G320,G320,$C$6:C320,"League"))</f>
        <v/>
      </c>
      <c r="N320" s="31" t="str">
        <f t="shared" si="13"/>
        <v/>
      </c>
      <c r="O320" s="37" t="str">
        <f t="shared" si="14"/>
        <v/>
      </c>
    </row>
    <row r="321" spans="1:15" ht="15">
      <c r="A321" s="30">
        <v>67</v>
      </c>
      <c r="B321" s="31" t="s">
        <v>497</v>
      </c>
      <c r="C321" s="31" t="s">
        <v>473</v>
      </c>
      <c r="D321" s="31" t="s">
        <v>483</v>
      </c>
      <c r="E321" s="31" t="s">
        <v>472</v>
      </c>
      <c r="F321" s="31" t="str">
        <f>IF(H321=1,INDEX('Match Results'!$G$6:$G$185,MATCH(A321,'Match Results'!$A$6:$A$185,0)),INDEX('Match Results'!$H$6:$H$185,MATCH(A321,'Match Results'!$A$6:$A$185,0)))</f>
        <v>A3</v>
      </c>
      <c r="G321" s="31" t="str">
        <f>IF(H321=1,INDEX('Match Results'!$H$6:$H$185,MATCH(A321,'Match Results'!$A$6:$A$185,0)),INDEX('Match Results'!$G$6:$G$185,MATCH(A321,'Match Results'!$A$6:$A$185,0)))</f>
        <v>A4</v>
      </c>
      <c r="H321" s="31">
        <v>1</v>
      </c>
      <c r="I321" s="31">
        <v>2</v>
      </c>
      <c r="J321" s="32"/>
      <c r="K321" s="31" t="str">
        <f>IF(J321="","",IFERROR(INDEX('Team Rosters'!$C$6:$C$205,MATCH(J321,'Team Rosters'!$B$6:$B$205,0)),"CODE NOT FOUND"))</f>
        <v/>
      </c>
      <c r="L321" s="31" t="str">
        <f t="shared" si="12"/>
        <v/>
      </c>
      <c r="M321" s="31" t="str">
        <f>IF(OR(J321="",C321&lt;&gt;"League",L321&lt;&gt;"VALID"),"",COUNTIFS($J$6:J321,J321,$G$6:G321,G321,$C$6:C321,"League"))</f>
        <v/>
      </c>
      <c r="N321" s="31" t="str">
        <f t="shared" si="13"/>
        <v/>
      </c>
      <c r="O321" s="37" t="str">
        <f t="shared" si="14"/>
        <v/>
      </c>
    </row>
    <row r="322" spans="1:15" ht="15">
      <c r="A322" s="30">
        <v>67</v>
      </c>
      <c r="B322" s="31" t="s">
        <v>497</v>
      </c>
      <c r="C322" s="31" t="s">
        <v>473</v>
      </c>
      <c r="D322" s="31" t="s">
        <v>483</v>
      </c>
      <c r="E322" s="31" t="s">
        <v>472</v>
      </c>
      <c r="F322" s="31" t="str">
        <f>IF(H322=1,INDEX('Match Results'!$G$6:$G$185,MATCH(A322,'Match Results'!$A$6:$A$185,0)),INDEX('Match Results'!$H$6:$H$185,MATCH(A322,'Match Results'!$A$6:$A$185,0)))</f>
        <v>A4</v>
      </c>
      <c r="G322" s="31" t="str">
        <f>IF(H322=1,INDEX('Match Results'!$H$6:$H$185,MATCH(A322,'Match Results'!$A$6:$A$185,0)),INDEX('Match Results'!$G$6:$G$185,MATCH(A322,'Match Results'!$A$6:$A$185,0)))</f>
        <v>A3</v>
      </c>
      <c r="H322" s="31">
        <v>2</v>
      </c>
      <c r="I322" s="31">
        <v>3</v>
      </c>
      <c r="J322" s="32"/>
      <c r="K322" s="31" t="str">
        <f>IF(J322="","",IFERROR(INDEX('Team Rosters'!$C$6:$C$205,MATCH(J322,'Team Rosters'!$B$6:$B$205,0)),"CODE NOT FOUND"))</f>
        <v/>
      </c>
      <c r="L322" s="31" t="str">
        <f t="shared" si="12"/>
        <v/>
      </c>
      <c r="M322" s="31" t="str">
        <f>IF(OR(J322="",C322&lt;&gt;"League",L322&lt;&gt;"VALID"),"",COUNTIFS($J$6:J322,J322,$G$6:G322,G322,$C$6:C322,"League"))</f>
        <v/>
      </c>
      <c r="N322" s="31" t="str">
        <f t="shared" si="13"/>
        <v/>
      </c>
      <c r="O322" s="37" t="str">
        <f t="shared" si="14"/>
        <v/>
      </c>
    </row>
    <row r="323" spans="1:15" ht="15">
      <c r="A323" s="30">
        <v>67</v>
      </c>
      <c r="B323" s="31" t="s">
        <v>497</v>
      </c>
      <c r="C323" s="31" t="s">
        <v>473</v>
      </c>
      <c r="D323" s="31" t="s">
        <v>483</v>
      </c>
      <c r="E323" s="31" t="s">
        <v>472</v>
      </c>
      <c r="F323" s="31" t="str">
        <f>IF(H323=1,INDEX('Match Results'!$G$6:$G$185,MATCH(A323,'Match Results'!$A$6:$A$185,0)),INDEX('Match Results'!$H$6:$H$185,MATCH(A323,'Match Results'!$A$6:$A$185,0)))</f>
        <v>A4</v>
      </c>
      <c r="G323" s="31" t="str">
        <f>IF(H323=1,INDEX('Match Results'!$H$6:$H$185,MATCH(A323,'Match Results'!$A$6:$A$185,0)),INDEX('Match Results'!$G$6:$G$185,MATCH(A323,'Match Results'!$A$6:$A$185,0)))</f>
        <v>A3</v>
      </c>
      <c r="H323" s="31">
        <v>2</v>
      </c>
      <c r="I323" s="31">
        <v>4</v>
      </c>
      <c r="J323" s="32"/>
      <c r="K323" s="31" t="str">
        <f>IF(J323="","",IFERROR(INDEX('Team Rosters'!$C$6:$C$205,MATCH(J323,'Team Rosters'!$B$6:$B$205,0)),"CODE NOT FOUND"))</f>
        <v/>
      </c>
      <c r="L323" s="31" t="str">
        <f t="shared" si="12"/>
        <v/>
      </c>
      <c r="M323" s="31" t="str">
        <f>IF(OR(J323="",C323&lt;&gt;"League",L323&lt;&gt;"VALID"),"",COUNTIFS($J$6:J323,J323,$G$6:G323,G323,$C$6:C323,"League"))</f>
        <v/>
      </c>
      <c r="N323" s="31" t="str">
        <f t="shared" si="13"/>
        <v/>
      </c>
      <c r="O323" s="37" t="str">
        <f t="shared" si="14"/>
        <v/>
      </c>
    </row>
    <row r="324" spans="1:15" ht="15">
      <c r="A324" s="30">
        <v>68</v>
      </c>
      <c r="B324" s="31" t="s">
        <v>497</v>
      </c>
      <c r="C324" s="31" t="s">
        <v>473</v>
      </c>
      <c r="D324" s="31" t="s">
        <v>483</v>
      </c>
      <c r="E324" s="31" t="s">
        <v>477</v>
      </c>
      <c r="F324" s="31" t="str">
        <f>IF(H324=1,INDEX('Match Results'!$G$6:$G$185,MATCH(A324,'Match Results'!$A$6:$A$185,0)),INDEX('Match Results'!$H$6:$H$185,MATCH(A324,'Match Results'!$A$6:$A$185,0)))</f>
        <v>B1</v>
      </c>
      <c r="G324" s="31" t="str">
        <f>IF(H324=1,INDEX('Match Results'!$H$6:$H$185,MATCH(A324,'Match Results'!$A$6:$A$185,0)),INDEX('Match Results'!$G$6:$G$185,MATCH(A324,'Match Results'!$A$6:$A$185,0)))</f>
        <v>B4</v>
      </c>
      <c r="H324" s="31">
        <v>1</v>
      </c>
      <c r="I324" s="31">
        <v>1</v>
      </c>
      <c r="J324" s="32"/>
      <c r="K324" s="31" t="str">
        <f>IF(J324="","",IFERROR(INDEX('Team Rosters'!$C$6:$C$205,MATCH(J324,'Team Rosters'!$B$6:$B$205,0)),"CODE NOT FOUND"))</f>
        <v/>
      </c>
      <c r="L324" s="31" t="str">
        <f t="shared" si="12"/>
        <v/>
      </c>
      <c r="M324" s="31" t="str">
        <f>IF(OR(J324="",C324&lt;&gt;"League",L324&lt;&gt;"VALID"),"",COUNTIFS($J$6:J324,J324,$G$6:G324,G324,$C$6:C324,"League"))</f>
        <v/>
      </c>
      <c r="N324" s="31" t="str">
        <f t="shared" si="13"/>
        <v/>
      </c>
      <c r="O324" s="37" t="str">
        <f t="shared" si="14"/>
        <v/>
      </c>
    </row>
    <row r="325" spans="1:15" ht="15">
      <c r="A325" s="30">
        <v>68</v>
      </c>
      <c r="B325" s="31" t="s">
        <v>497</v>
      </c>
      <c r="C325" s="31" t="s">
        <v>473</v>
      </c>
      <c r="D325" s="31" t="s">
        <v>483</v>
      </c>
      <c r="E325" s="31" t="s">
        <v>477</v>
      </c>
      <c r="F325" s="31" t="str">
        <f>IF(H325=1,INDEX('Match Results'!$G$6:$G$185,MATCH(A325,'Match Results'!$A$6:$A$185,0)),INDEX('Match Results'!$H$6:$H$185,MATCH(A325,'Match Results'!$A$6:$A$185,0)))</f>
        <v>B1</v>
      </c>
      <c r="G325" s="31" t="str">
        <f>IF(H325=1,INDEX('Match Results'!$H$6:$H$185,MATCH(A325,'Match Results'!$A$6:$A$185,0)),INDEX('Match Results'!$G$6:$G$185,MATCH(A325,'Match Results'!$A$6:$A$185,0)))</f>
        <v>B4</v>
      </c>
      <c r="H325" s="31">
        <v>1</v>
      </c>
      <c r="I325" s="31">
        <v>2</v>
      </c>
      <c r="J325" s="32"/>
      <c r="K325" s="31" t="str">
        <f>IF(J325="","",IFERROR(INDEX('Team Rosters'!$C$6:$C$205,MATCH(J325,'Team Rosters'!$B$6:$B$205,0)),"CODE NOT FOUND"))</f>
        <v/>
      </c>
      <c r="L325" s="31" t="str">
        <f t="shared" si="12"/>
        <v/>
      </c>
      <c r="M325" s="31" t="str">
        <f>IF(OR(J325="",C325&lt;&gt;"League",L325&lt;&gt;"VALID"),"",COUNTIFS($J$6:J325,J325,$G$6:G325,G325,$C$6:C325,"League"))</f>
        <v/>
      </c>
      <c r="N325" s="31" t="str">
        <f t="shared" si="13"/>
        <v/>
      </c>
      <c r="O325" s="37" t="str">
        <f t="shared" si="14"/>
        <v/>
      </c>
    </row>
    <row r="326" spans="1:15" ht="15">
      <c r="A326" s="30">
        <v>68</v>
      </c>
      <c r="B326" s="31" t="s">
        <v>497</v>
      </c>
      <c r="C326" s="31" t="s">
        <v>473</v>
      </c>
      <c r="D326" s="31" t="s">
        <v>483</v>
      </c>
      <c r="E326" s="31" t="s">
        <v>477</v>
      </c>
      <c r="F326" s="31" t="str">
        <f>IF(H326=1,INDEX('Match Results'!$G$6:$G$185,MATCH(A326,'Match Results'!$A$6:$A$185,0)),INDEX('Match Results'!$H$6:$H$185,MATCH(A326,'Match Results'!$A$6:$A$185,0)))</f>
        <v>B4</v>
      </c>
      <c r="G326" s="31" t="str">
        <f>IF(H326=1,INDEX('Match Results'!$H$6:$H$185,MATCH(A326,'Match Results'!$A$6:$A$185,0)),INDEX('Match Results'!$G$6:$G$185,MATCH(A326,'Match Results'!$A$6:$A$185,0)))</f>
        <v>B1</v>
      </c>
      <c r="H326" s="31">
        <v>2</v>
      </c>
      <c r="I326" s="31">
        <v>3</v>
      </c>
      <c r="J326" s="32"/>
      <c r="K326" s="31" t="str">
        <f>IF(J326="","",IFERROR(INDEX('Team Rosters'!$C$6:$C$205,MATCH(J326,'Team Rosters'!$B$6:$B$205,0)),"CODE NOT FOUND"))</f>
        <v/>
      </c>
      <c r="L326" s="31" t="str">
        <f t="shared" ref="L326:L389" si="15">IF(J326="","",IF(AND(K326&lt;&gt;"",K326&lt;&gt;"CODE NOT FOUND",LEFT(J326,2)=F326),"VALID","CHECK ROSTER"))</f>
        <v/>
      </c>
      <c r="M326" s="31" t="str">
        <f>IF(OR(J326="",C326&lt;&gt;"League",L326&lt;&gt;"VALID"),"",COUNTIFS($J$6:J326,J326,$G$6:G326,G326,$C$6:C326,"League"))</f>
        <v/>
      </c>
      <c r="N326" s="31" t="str">
        <f t="shared" ref="N326:N389" si="16">IF(J326="","",IF(L326&lt;&gt;"VALID","CHECK ROSTER",IF(C326&lt;&gt;"League","NOT APPLICABLE",IF(M326&lt;=2,"OK","VIOLATION"))))</f>
        <v/>
      </c>
      <c r="O326" s="37" t="str">
        <f t="shared" ref="O326:O389" si="17">IF(N326="VIOLATION",K326&amp;" has played "&amp;M326&amp;" league matches against "&amp;G326&amp;"; limit is 2.","")</f>
        <v/>
      </c>
    </row>
    <row r="327" spans="1:15" ht="15">
      <c r="A327" s="30">
        <v>68</v>
      </c>
      <c r="B327" s="31" t="s">
        <v>497</v>
      </c>
      <c r="C327" s="31" t="s">
        <v>473</v>
      </c>
      <c r="D327" s="31" t="s">
        <v>483</v>
      </c>
      <c r="E327" s="31" t="s">
        <v>477</v>
      </c>
      <c r="F327" s="31" t="str">
        <f>IF(H327=1,INDEX('Match Results'!$G$6:$G$185,MATCH(A327,'Match Results'!$A$6:$A$185,0)),INDEX('Match Results'!$H$6:$H$185,MATCH(A327,'Match Results'!$A$6:$A$185,0)))</f>
        <v>B4</v>
      </c>
      <c r="G327" s="31" t="str">
        <f>IF(H327=1,INDEX('Match Results'!$H$6:$H$185,MATCH(A327,'Match Results'!$A$6:$A$185,0)),INDEX('Match Results'!$G$6:$G$185,MATCH(A327,'Match Results'!$A$6:$A$185,0)))</f>
        <v>B1</v>
      </c>
      <c r="H327" s="31">
        <v>2</v>
      </c>
      <c r="I327" s="31">
        <v>4</v>
      </c>
      <c r="J327" s="32"/>
      <c r="K327" s="31" t="str">
        <f>IF(J327="","",IFERROR(INDEX('Team Rosters'!$C$6:$C$205,MATCH(J327,'Team Rosters'!$B$6:$B$205,0)),"CODE NOT FOUND"))</f>
        <v/>
      </c>
      <c r="L327" s="31" t="str">
        <f t="shared" si="15"/>
        <v/>
      </c>
      <c r="M327" s="31" t="str">
        <f>IF(OR(J327="",C327&lt;&gt;"League",L327&lt;&gt;"VALID"),"",COUNTIFS($J$6:J327,J327,$G$6:G327,G327,$C$6:C327,"League"))</f>
        <v/>
      </c>
      <c r="N327" s="31" t="str">
        <f t="shared" si="16"/>
        <v/>
      </c>
      <c r="O327" s="37" t="str">
        <f t="shared" si="17"/>
        <v/>
      </c>
    </row>
    <row r="328" spans="1:15" ht="15">
      <c r="A328" s="30">
        <v>69</v>
      </c>
      <c r="B328" s="31" t="s">
        <v>497</v>
      </c>
      <c r="C328" s="31" t="s">
        <v>473</v>
      </c>
      <c r="D328" s="31" t="s">
        <v>486</v>
      </c>
      <c r="E328" s="31" t="s">
        <v>475</v>
      </c>
      <c r="F328" s="31" t="str">
        <f>IF(H328=1,INDEX('Match Results'!$G$6:$G$185,MATCH(A328,'Match Results'!$A$6:$A$185,0)),INDEX('Match Results'!$H$6:$H$185,MATCH(A328,'Match Results'!$A$6:$A$185,0)))</f>
        <v>A1</v>
      </c>
      <c r="G328" s="31" t="str">
        <f>IF(H328=1,INDEX('Match Results'!$H$6:$H$185,MATCH(A328,'Match Results'!$A$6:$A$185,0)),INDEX('Match Results'!$G$6:$G$185,MATCH(A328,'Match Results'!$A$6:$A$185,0)))</f>
        <v>A4</v>
      </c>
      <c r="H328" s="31">
        <v>1</v>
      </c>
      <c r="I328" s="31">
        <v>1</v>
      </c>
      <c r="J328" s="32"/>
      <c r="K328" s="31" t="str">
        <f>IF(J328="","",IFERROR(INDEX('Team Rosters'!$C$6:$C$205,MATCH(J328,'Team Rosters'!$B$6:$B$205,0)),"CODE NOT FOUND"))</f>
        <v/>
      </c>
      <c r="L328" s="31" t="str">
        <f t="shared" si="15"/>
        <v/>
      </c>
      <c r="M328" s="31" t="str">
        <f>IF(OR(J328="",C328&lt;&gt;"League",L328&lt;&gt;"VALID"),"",COUNTIFS($J$6:J328,J328,$G$6:G328,G328,$C$6:C328,"League"))</f>
        <v/>
      </c>
      <c r="N328" s="31" t="str">
        <f t="shared" si="16"/>
        <v/>
      </c>
      <c r="O328" s="37" t="str">
        <f t="shared" si="17"/>
        <v/>
      </c>
    </row>
    <row r="329" spans="1:15" ht="15">
      <c r="A329" s="30">
        <v>69</v>
      </c>
      <c r="B329" s="31" t="s">
        <v>497</v>
      </c>
      <c r="C329" s="31" t="s">
        <v>473</v>
      </c>
      <c r="D329" s="31" t="s">
        <v>486</v>
      </c>
      <c r="E329" s="31" t="s">
        <v>475</v>
      </c>
      <c r="F329" s="31" t="str">
        <f>IF(H329=1,INDEX('Match Results'!$G$6:$G$185,MATCH(A329,'Match Results'!$A$6:$A$185,0)),INDEX('Match Results'!$H$6:$H$185,MATCH(A329,'Match Results'!$A$6:$A$185,0)))</f>
        <v>A1</v>
      </c>
      <c r="G329" s="31" t="str">
        <f>IF(H329=1,INDEX('Match Results'!$H$6:$H$185,MATCH(A329,'Match Results'!$A$6:$A$185,0)),INDEX('Match Results'!$G$6:$G$185,MATCH(A329,'Match Results'!$A$6:$A$185,0)))</f>
        <v>A4</v>
      </c>
      <c r="H329" s="31">
        <v>1</v>
      </c>
      <c r="I329" s="31">
        <v>2</v>
      </c>
      <c r="J329" s="32"/>
      <c r="K329" s="31" t="str">
        <f>IF(J329="","",IFERROR(INDEX('Team Rosters'!$C$6:$C$205,MATCH(J329,'Team Rosters'!$B$6:$B$205,0)),"CODE NOT FOUND"))</f>
        <v/>
      </c>
      <c r="L329" s="31" t="str">
        <f t="shared" si="15"/>
        <v/>
      </c>
      <c r="M329" s="31" t="str">
        <f>IF(OR(J329="",C329&lt;&gt;"League",L329&lt;&gt;"VALID"),"",COUNTIFS($J$6:J329,J329,$G$6:G329,G329,$C$6:C329,"League"))</f>
        <v/>
      </c>
      <c r="N329" s="31" t="str">
        <f t="shared" si="16"/>
        <v/>
      </c>
      <c r="O329" s="37" t="str">
        <f t="shared" si="17"/>
        <v/>
      </c>
    </row>
    <row r="330" spans="1:15" ht="15">
      <c r="A330" s="30">
        <v>69</v>
      </c>
      <c r="B330" s="31" t="s">
        <v>497</v>
      </c>
      <c r="C330" s="31" t="s">
        <v>473</v>
      </c>
      <c r="D330" s="31" t="s">
        <v>486</v>
      </c>
      <c r="E330" s="31" t="s">
        <v>475</v>
      </c>
      <c r="F330" s="31" t="str">
        <f>IF(H330=1,INDEX('Match Results'!$G$6:$G$185,MATCH(A330,'Match Results'!$A$6:$A$185,0)),INDEX('Match Results'!$H$6:$H$185,MATCH(A330,'Match Results'!$A$6:$A$185,0)))</f>
        <v>A4</v>
      </c>
      <c r="G330" s="31" t="str">
        <f>IF(H330=1,INDEX('Match Results'!$H$6:$H$185,MATCH(A330,'Match Results'!$A$6:$A$185,0)),INDEX('Match Results'!$G$6:$G$185,MATCH(A330,'Match Results'!$A$6:$A$185,0)))</f>
        <v>A1</v>
      </c>
      <c r="H330" s="31">
        <v>2</v>
      </c>
      <c r="I330" s="31">
        <v>3</v>
      </c>
      <c r="J330" s="49"/>
      <c r="K330" s="31" t="str">
        <f>IF(J330="","",IFERROR(INDEX('Team Rosters'!$C$6:$C$205,MATCH(J330,'Team Rosters'!$B$6:$B$205,0)),"CODE NOT FOUND"))</f>
        <v/>
      </c>
      <c r="L330" s="31" t="str">
        <f t="shared" si="15"/>
        <v/>
      </c>
      <c r="M330" s="31" t="str">
        <f>IF(OR(J330="",C330&lt;&gt;"League",L330&lt;&gt;"VALID"),"",COUNTIFS($J$6:J330,J330,$G$6:G330,G330,$C$6:C330,"League"))</f>
        <v/>
      </c>
      <c r="N330" s="31" t="str">
        <f t="shared" si="16"/>
        <v/>
      </c>
      <c r="O330" s="37" t="str">
        <f t="shared" si="17"/>
        <v/>
      </c>
    </row>
    <row r="331" spans="1:15" ht="15">
      <c r="A331" s="30">
        <v>69</v>
      </c>
      <c r="B331" s="31" t="s">
        <v>497</v>
      </c>
      <c r="C331" s="31" t="s">
        <v>473</v>
      </c>
      <c r="D331" s="31" t="s">
        <v>486</v>
      </c>
      <c r="E331" s="31" t="s">
        <v>475</v>
      </c>
      <c r="F331" s="31" t="str">
        <f>IF(H331=1,INDEX('Match Results'!$G$6:$G$185,MATCH(A331,'Match Results'!$A$6:$A$185,0)),INDEX('Match Results'!$H$6:$H$185,MATCH(A331,'Match Results'!$A$6:$A$185,0)))</f>
        <v>A4</v>
      </c>
      <c r="G331" s="31" t="str">
        <f>IF(H331=1,INDEX('Match Results'!$H$6:$H$185,MATCH(A331,'Match Results'!$A$6:$A$185,0)),INDEX('Match Results'!$G$6:$G$185,MATCH(A331,'Match Results'!$A$6:$A$185,0)))</f>
        <v>A1</v>
      </c>
      <c r="H331" s="31">
        <v>2</v>
      </c>
      <c r="I331" s="31">
        <v>4</v>
      </c>
      <c r="J331" s="50"/>
      <c r="K331" s="31" t="str">
        <f>IF(J331="","",IFERROR(INDEX('Team Rosters'!$C$6:$C$205,MATCH(J331,'Team Rosters'!$B$6:$B$205,0)),"CODE NOT FOUND"))</f>
        <v/>
      </c>
      <c r="L331" s="31" t="str">
        <f t="shared" si="15"/>
        <v/>
      </c>
      <c r="M331" s="31" t="str">
        <f>IF(OR(J331="",C331&lt;&gt;"League",L331&lt;&gt;"VALID"),"",COUNTIFS($J$6:J331,J331,$G$6:G331,G331,$C$6:C331,"League"))</f>
        <v/>
      </c>
      <c r="N331" s="31" t="str">
        <f t="shared" si="16"/>
        <v/>
      </c>
      <c r="O331" s="37" t="str">
        <f t="shared" si="17"/>
        <v/>
      </c>
    </row>
    <row r="332" spans="1:15" ht="15">
      <c r="A332" s="30">
        <v>70</v>
      </c>
      <c r="B332" s="31" t="s">
        <v>497</v>
      </c>
      <c r="C332" s="31" t="s">
        <v>473</v>
      </c>
      <c r="D332" s="31" t="s">
        <v>486</v>
      </c>
      <c r="E332" s="31" t="s">
        <v>477</v>
      </c>
      <c r="F332" s="31" t="str">
        <f>IF(H332=1,INDEX('Match Results'!$G$6:$G$185,MATCH(A332,'Match Results'!$A$6:$A$185,0)),INDEX('Match Results'!$H$6:$H$185,MATCH(A332,'Match Results'!$A$6:$A$185,0)))</f>
        <v>A2</v>
      </c>
      <c r="G332" s="31" t="str">
        <f>IF(H332=1,INDEX('Match Results'!$H$6:$H$185,MATCH(A332,'Match Results'!$A$6:$A$185,0)),INDEX('Match Results'!$G$6:$G$185,MATCH(A332,'Match Results'!$A$6:$A$185,0)))</f>
        <v>A3</v>
      </c>
      <c r="H332" s="31">
        <v>1</v>
      </c>
      <c r="I332" s="31">
        <v>1</v>
      </c>
      <c r="J332" s="32"/>
      <c r="K332" s="31" t="str">
        <f>IF(J332="","",IFERROR(INDEX('Team Rosters'!$C$6:$C$205,MATCH(J332,'Team Rosters'!$B$6:$B$205,0)),"CODE NOT FOUND"))</f>
        <v/>
      </c>
      <c r="L332" s="31" t="str">
        <f t="shared" si="15"/>
        <v/>
      </c>
      <c r="M332" s="31" t="str">
        <f>IF(OR(J332="",C332&lt;&gt;"League",L332&lt;&gt;"VALID"),"",COUNTIFS($J$6:J332,J332,$G$6:G332,G332,$C$6:C332,"League"))</f>
        <v/>
      </c>
      <c r="N332" s="31" t="str">
        <f t="shared" si="16"/>
        <v/>
      </c>
      <c r="O332" s="37" t="str">
        <f t="shared" si="17"/>
        <v/>
      </c>
    </row>
    <row r="333" spans="1:15" ht="15">
      <c r="A333" s="30">
        <v>70</v>
      </c>
      <c r="B333" s="31" t="s">
        <v>497</v>
      </c>
      <c r="C333" s="31" t="s">
        <v>473</v>
      </c>
      <c r="D333" s="31" t="s">
        <v>486</v>
      </c>
      <c r="E333" s="31" t="s">
        <v>477</v>
      </c>
      <c r="F333" s="31" t="str">
        <f>IF(H333=1,INDEX('Match Results'!$G$6:$G$185,MATCH(A333,'Match Results'!$A$6:$A$185,0)),INDEX('Match Results'!$H$6:$H$185,MATCH(A333,'Match Results'!$A$6:$A$185,0)))</f>
        <v>A2</v>
      </c>
      <c r="G333" s="31" t="str">
        <f>IF(H333=1,INDEX('Match Results'!$H$6:$H$185,MATCH(A333,'Match Results'!$A$6:$A$185,0)),INDEX('Match Results'!$G$6:$G$185,MATCH(A333,'Match Results'!$A$6:$A$185,0)))</f>
        <v>A3</v>
      </c>
      <c r="H333" s="31">
        <v>1</v>
      </c>
      <c r="I333" s="31">
        <v>2</v>
      </c>
      <c r="J333" s="32"/>
      <c r="K333" s="31" t="str">
        <f>IF(J333="","",IFERROR(INDEX('Team Rosters'!$C$6:$C$205,MATCH(J333,'Team Rosters'!$B$6:$B$205,0)),"CODE NOT FOUND"))</f>
        <v/>
      </c>
      <c r="L333" s="31" t="str">
        <f t="shared" si="15"/>
        <v/>
      </c>
      <c r="M333" s="31" t="str">
        <f>IF(OR(J333="",C333&lt;&gt;"League",L333&lt;&gt;"VALID"),"",COUNTIFS($J$6:J333,J333,$G$6:G333,G333,$C$6:C333,"League"))</f>
        <v/>
      </c>
      <c r="N333" s="31" t="str">
        <f t="shared" si="16"/>
        <v/>
      </c>
      <c r="O333" s="37" t="str">
        <f t="shared" si="17"/>
        <v/>
      </c>
    </row>
    <row r="334" spans="1:15" ht="15">
      <c r="A334" s="30">
        <v>70</v>
      </c>
      <c r="B334" s="31" t="s">
        <v>497</v>
      </c>
      <c r="C334" s="31" t="s">
        <v>473</v>
      </c>
      <c r="D334" s="31" t="s">
        <v>486</v>
      </c>
      <c r="E334" s="31" t="s">
        <v>477</v>
      </c>
      <c r="F334" s="31" t="str">
        <f>IF(H334=1,INDEX('Match Results'!$G$6:$G$185,MATCH(A334,'Match Results'!$A$6:$A$185,0)),INDEX('Match Results'!$H$6:$H$185,MATCH(A334,'Match Results'!$A$6:$A$185,0)))</f>
        <v>A3</v>
      </c>
      <c r="G334" s="31" t="str">
        <f>IF(H334=1,INDEX('Match Results'!$H$6:$H$185,MATCH(A334,'Match Results'!$A$6:$A$185,0)),INDEX('Match Results'!$G$6:$G$185,MATCH(A334,'Match Results'!$A$6:$A$185,0)))</f>
        <v>A2</v>
      </c>
      <c r="H334" s="31">
        <v>2</v>
      </c>
      <c r="I334" s="31">
        <v>3</v>
      </c>
      <c r="J334" s="32"/>
      <c r="K334" s="31" t="str">
        <f>IF(J334="","",IFERROR(INDEX('Team Rosters'!$C$6:$C$205,MATCH(J334,'Team Rosters'!$B$6:$B$205,0)),"CODE NOT FOUND"))</f>
        <v/>
      </c>
      <c r="L334" s="31" t="str">
        <f t="shared" si="15"/>
        <v/>
      </c>
      <c r="M334" s="31" t="str">
        <f>IF(OR(J334="",C334&lt;&gt;"League",L334&lt;&gt;"VALID"),"",COUNTIFS($J$6:J334,J334,$G$6:G334,G334,$C$6:C334,"League"))</f>
        <v/>
      </c>
      <c r="N334" s="31" t="str">
        <f t="shared" si="16"/>
        <v/>
      </c>
      <c r="O334" s="37" t="str">
        <f t="shared" si="17"/>
        <v/>
      </c>
    </row>
    <row r="335" spans="1:15" ht="15">
      <c r="A335" s="30">
        <v>70</v>
      </c>
      <c r="B335" s="31" t="s">
        <v>497</v>
      </c>
      <c r="C335" s="31" t="s">
        <v>473</v>
      </c>
      <c r="D335" s="31" t="s">
        <v>486</v>
      </c>
      <c r="E335" s="31" t="s">
        <v>477</v>
      </c>
      <c r="F335" s="31" t="str">
        <f>IF(H335=1,INDEX('Match Results'!$G$6:$G$185,MATCH(A335,'Match Results'!$A$6:$A$185,0)),INDEX('Match Results'!$H$6:$H$185,MATCH(A335,'Match Results'!$A$6:$A$185,0)))</f>
        <v>A3</v>
      </c>
      <c r="G335" s="31" t="str">
        <f>IF(H335=1,INDEX('Match Results'!$H$6:$H$185,MATCH(A335,'Match Results'!$A$6:$A$185,0)),INDEX('Match Results'!$G$6:$G$185,MATCH(A335,'Match Results'!$A$6:$A$185,0)))</f>
        <v>A2</v>
      </c>
      <c r="H335" s="31">
        <v>2</v>
      </c>
      <c r="I335" s="31">
        <v>4</v>
      </c>
      <c r="J335" s="32"/>
      <c r="K335" s="31" t="str">
        <f>IF(J335="","",IFERROR(INDEX('Team Rosters'!$C$6:$C$205,MATCH(J335,'Team Rosters'!$B$6:$B$205,0)),"CODE NOT FOUND"))</f>
        <v/>
      </c>
      <c r="L335" s="31" t="str">
        <f t="shared" si="15"/>
        <v/>
      </c>
      <c r="M335" s="31" t="str">
        <f>IF(OR(J335="",C335&lt;&gt;"League",L335&lt;&gt;"VALID"),"",COUNTIFS($J$6:J335,J335,$G$6:G335,G335,$C$6:C335,"League"))</f>
        <v/>
      </c>
      <c r="N335" s="31" t="str">
        <f t="shared" si="16"/>
        <v/>
      </c>
      <c r="O335" s="37" t="str">
        <f t="shared" si="17"/>
        <v/>
      </c>
    </row>
    <row r="336" spans="1:15" ht="15">
      <c r="A336" s="30">
        <v>71</v>
      </c>
      <c r="B336" s="31" t="s">
        <v>497</v>
      </c>
      <c r="C336" s="31" t="s">
        <v>473</v>
      </c>
      <c r="D336" s="31" t="s">
        <v>486</v>
      </c>
      <c r="E336" s="31" t="s">
        <v>472</v>
      </c>
      <c r="F336" s="31" t="str">
        <f>IF(H336=1,INDEX('Match Results'!$G$6:$G$185,MATCH(A336,'Match Results'!$A$6:$A$185,0)),INDEX('Match Results'!$H$6:$H$185,MATCH(A336,'Match Results'!$A$6:$A$185,0)))</f>
        <v>B2</v>
      </c>
      <c r="G336" s="31" t="str">
        <f>IF(H336=1,INDEX('Match Results'!$H$6:$H$185,MATCH(A336,'Match Results'!$A$6:$A$185,0)),INDEX('Match Results'!$G$6:$G$185,MATCH(A336,'Match Results'!$A$6:$A$185,0)))</f>
        <v>B3</v>
      </c>
      <c r="H336" s="31">
        <v>1</v>
      </c>
      <c r="I336" s="31">
        <v>1</v>
      </c>
      <c r="J336" s="32"/>
      <c r="K336" s="31" t="str">
        <f>IF(J336="","",IFERROR(INDEX('Team Rosters'!$C$6:$C$205,MATCH(J336,'Team Rosters'!$B$6:$B$205,0)),"CODE NOT FOUND"))</f>
        <v/>
      </c>
      <c r="L336" s="31" t="str">
        <f t="shared" si="15"/>
        <v/>
      </c>
      <c r="M336" s="31" t="str">
        <f>IF(OR(J336="",C336&lt;&gt;"League",L336&lt;&gt;"VALID"),"",COUNTIFS($J$6:J336,J336,$G$6:G336,G336,$C$6:C336,"League"))</f>
        <v/>
      </c>
      <c r="N336" s="31" t="str">
        <f t="shared" si="16"/>
        <v/>
      </c>
      <c r="O336" s="37" t="str">
        <f t="shared" si="17"/>
        <v/>
      </c>
    </row>
    <row r="337" spans="1:15" ht="15">
      <c r="A337" s="30">
        <v>71</v>
      </c>
      <c r="B337" s="31" t="s">
        <v>497</v>
      </c>
      <c r="C337" s="31" t="s">
        <v>473</v>
      </c>
      <c r="D337" s="31" t="s">
        <v>486</v>
      </c>
      <c r="E337" s="31" t="s">
        <v>472</v>
      </c>
      <c r="F337" s="31" t="str">
        <f>IF(H337=1,INDEX('Match Results'!$G$6:$G$185,MATCH(A337,'Match Results'!$A$6:$A$185,0)),INDEX('Match Results'!$H$6:$H$185,MATCH(A337,'Match Results'!$A$6:$A$185,0)))</f>
        <v>B2</v>
      </c>
      <c r="G337" s="31" t="str">
        <f>IF(H337=1,INDEX('Match Results'!$H$6:$H$185,MATCH(A337,'Match Results'!$A$6:$A$185,0)),INDEX('Match Results'!$G$6:$G$185,MATCH(A337,'Match Results'!$A$6:$A$185,0)))</f>
        <v>B3</v>
      </c>
      <c r="H337" s="31">
        <v>1</v>
      </c>
      <c r="I337" s="31">
        <v>2</v>
      </c>
      <c r="J337" s="32"/>
      <c r="K337" s="31" t="str">
        <f>IF(J337="","",IFERROR(INDEX('Team Rosters'!$C$6:$C$205,MATCH(J337,'Team Rosters'!$B$6:$B$205,0)),"CODE NOT FOUND"))</f>
        <v/>
      </c>
      <c r="L337" s="31" t="str">
        <f t="shared" si="15"/>
        <v/>
      </c>
      <c r="M337" s="31" t="str">
        <f>IF(OR(J337="",C337&lt;&gt;"League",L337&lt;&gt;"VALID"),"",COUNTIFS($J$6:J337,J337,$G$6:G337,G337,$C$6:C337,"League"))</f>
        <v/>
      </c>
      <c r="N337" s="31" t="str">
        <f t="shared" si="16"/>
        <v/>
      </c>
      <c r="O337" s="37" t="str">
        <f t="shared" si="17"/>
        <v/>
      </c>
    </row>
    <row r="338" spans="1:15" ht="15">
      <c r="A338" s="30">
        <v>71</v>
      </c>
      <c r="B338" s="31" t="s">
        <v>497</v>
      </c>
      <c r="C338" s="31" t="s">
        <v>473</v>
      </c>
      <c r="D338" s="31" t="s">
        <v>486</v>
      </c>
      <c r="E338" s="31" t="s">
        <v>472</v>
      </c>
      <c r="F338" s="31" t="str">
        <f>IF(H338=1,INDEX('Match Results'!$G$6:$G$185,MATCH(A338,'Match Results'!$A$6:$A$185,0)),INDEX('Match Results'!$H$6:$H$185,MATCH(A338,'Match Results'!$A$6:$A$185,0)))</f>
        <v>B3</v>
      </c>
      <c r="G338" s="31" t="str">
        <f>IF(H338=1,INDEX('Match Results'!$H$6:$H$185,MATCH(A338,'Match Results'!$A$6:$A$185,0)),INDEX('Match Results'!$G$6:$G$185,MATCH(A338,'Match Results'!$A$6:$A$185,0)))</f>
        <v>B2</v>
      </c>
      <c r="H338" s="31">
        <v>2</v>
      </c>
      <c r="I338" s="31">
        <v>3</v>
      </c>
      <c r="J338" s="32"/>
      <c r="K338" s="31" t="str">
        <f>IF(J338="","",IFERROR(INDEX('Team Rosters'!$C$6:$C$205,MATCH(J338,'Team Rosters'!$B$6:$B$205,0)),"CODE NOT FOUND"))</f>
        <v/>
      </c>
      <c r="L338" s="31" t="str">
        <f t="shared" si="15"/>
        <v/>
      </c>
      <c r="M338" s="31" t="str">
        <f>IF(OR(J338="",C338&lt;&gt;"League",L338&lt;&gt;"VALID"),"",COUNTIFS($J$6:J338,J338,$G$6:G338,G338,$C$6:C338,"League"))</f>
        <v/>
      </c>
      <c r="N338" s="31" t="str">
        <f t="shared" si="16"/>
        <v/>
      </c>
      <c r="O338" s="37" t="str">
        <f t="shared" si="17"/>
        <v/>
      </c>
    </row>
    <row r="339" spans="1:15" ht="15">
      <c r="A339" s="30">
        <v>71</v>
      </c>
      <c r="B339" s="31" t="s">
        <v>497</v>
      </c>
      <c r="C339" s="31" t="s">
        <v>473</v>
      </c>
      <c r="D339" s="31" t="s">
        <v>486</v>
      </c>
      <c r="E339" s="31" t="s">
        <v>472</v>
      </c>
      <c r="F339" s="31" t="str">
        <f>IF(H339=1,INDEX('Match Results'!$G$6:$G$185,MATCH(A339,'Match Results'!$A$6:$A$185,0)),INDEX('Match Results'!$H$6:$H$185,MATCH(A339,'Match Results'!$A$6:$A$185,0)))</f>
        <v>B3</v>
      </c>
      <c r="G339" s="31" t="str">
        <f>IF(H339=1,INDEX('Match Results'!$H$6:$H$185,MATCH(A339,'Match Results'!$A$6:$A$185,0)),INDEX('Match Results'!$G$6:$G$185,MATCH(A339,'Match Results'!$A$6:$A$185,0)))</f>
        <v>B2</v>
      </c>
      <c r="H339" s="31">
        <v>2</v>
      </c>
      <c r="I339" s="31">
        <v>4</v>
      </c>
      <c r="J339" s="32"/>
      <c r="K339" s="31" t="str">
        <f>IF(J339="","",IFERROR(INDEX('Team Rosters'!$C$6:$C$205,MATCH(J339,'Team Rosters'!$B$6:$B$205,0)),"CODE NOT FOUND"))</f>
        <v/>
      </c>
      <c r="L339" s="31" t="str">
        <f t="shared" si="15"/>
        <v/>
      </c>
      <c r="M339" s="31" t="str">
        <f>IF(OR(J339="",C339&lt;&gt;"League",L339&lt;&gt;"VALID"),"",COUNTIFS($J$6:J339,J339,$G$6:G339,G339,$C$6:C339,"League"))</f>
        <v/>
      </c>
      <c r="N339" s="31" t="str">
        <f t="shared" si="16"/>
        <v/>
      </c>
      <c r="O339" s="37" t="str">
        <f t="shared" si="17"/>
        <v/>
      </c>
    </row>
    <row r="340" spans="1:15" ht="15">
      <c r="A340" s="30">
        <v>72</v>
      </c>
      <c r="B340" s="31" t="s">
        <v>497</v>
      </c>
      <c r="C340" s="31" t="s">
        <v>473</v>
      </c>
      <c r="D340" s="31" t="s">
        <v>490</v>
      </c>
      <c r="E340" s="31" t="s">
        <v>491</v>
      </c>
      <c r="F340" s="31" t="str">
        <f>IF(H340=1,INDEX('Match Results'!$G$6:$G$185,MATCH(A340,'Match Results'!$A$6:$A$185,0)),INDEX('Match Results'!$H$6:$H$185,MATCH(A340,'Match Results'!$A$6:$A$185,0)))</f>
        <v>B1</v>
      </c>
      <c r="G340" s="31" t="str">
        <f>IF(H340=1,INDEX('Match Results'!$H$6:$H$185,MATCH(A340,'Match Results'!$A$6:$A$185,0)),INDEX('Match Results'!$G$6:$G$185,MATCH(A340,'Match Results'!$A$6:$A$185,0)))</f>
        <v>B2</v>
      </c>
      <c r="H340" s="31">
        <v>1</v>
      </c>
      <c r="I340" s="31">
        <v>1</v>
      </c>
      <c r="J340" s="32"/>
      <c r="K340" s="31" t="str">
        <f>IF(J340="","",IFERROR(INDEX('Team Rosters'!$C$6:$C$205,MATCH(J340,'Team Rosters'!$B$6:$B$205,0)),"CODE NOT FOUND"))</f>
        <v/>
      </c>
      <c r="L340" s="31" t="str">
        <f t="shared" si="15"/>
        <v/>
      </c>
      <c r="M340" s="31" t="str">
        <f>IF(OR(J340="",C340&lt;&gt;"League",L340&lt;&gt;"VALID"),"",COUNTIFS($J$6:J340,J340,$G$6:G340,G340,$C$6:C340,"League"))</f>
        <v/>
      </c>
      <c r="N340" s="31" t="str">
        <f t="shared" si="16"/>
        <v/>
      </c>
      <c r="O340" s="37" t="str">
        <f t="shared" si="17"/>
        <v/>
      </c>
    </row>
    <row r="341" spans="1:15" ht="15">
      <c r="A341" s="30">
        <v>72</v>
      </c>
      <c r="B341" s="31" t="s">
        <v>497</v>
      </c>
      <c r="C341" s="31" t="s">
        <v>473</v>
      </c>
      <c r="D341" s="31" t="s">
        <v>490</v>
      </c>
      <c r="E341" s="31" t="s">
        <v>491</v>
      </c>
      <c r="F341" s="31" t="str">
        <f>IF(H341=1,INDEX('Match Results'!$G$6:$G$185,MATCH(A341,'Match Results'!$A$6:$A$185,0)),INDEX('Match Results'!$H$6:$H$185,MATCH(A341,'Match Results'!$A$6:$A$185,0)))</f>
        <v>B1</v>
      </c>
      <c r="G341" s="31" t="str">
        <f>IF(H341=1,INDEX('Match Results'!$H$6:$H$185,MATCH(A341,'Match Results'!$A$6:$A$185,0)),INDEX('Match Results'!$G$6:$G$185,MATCH(A341,'Match Results'!$A$6:$A$185,0)))</f>
        <v>B2</v>
      </c>
      <c r="H341" s="31">
        <v>1</v>
      </c>
      <c r="I341" s="31">
        <v>2</v>
      </c>
      <c r="J341" s="32"/>
      <c r="K341" s="31" t="str">
        <f>IF(J341="","",IFERROR(INDEX('Team Rosters'!$C$6:$C$205,MATCH(J341,'Team Rosters'!$B$6:$B$205,0)),"CODE NOT FOUND"))</f>
        <v/>
      </c>
      <c r="L341" s="31" t="str">
        <f t="shared" si="15"/>
        <v/>
      </c>
      <c r="M341" s="31" t="str">
        <f>IF(OR(J341="",C341&lt;&gt;"League",L341&lt;&gt;"VALID"),"",COUNTIFS($J$6:J341,J341,$G$6:G341,G341,$C$6:C341,"League"))</f>
        <v/>
      </c>
      <c r="N341" s="31" t="str">
        <f t="shared" si="16"/>
        <v/>
      </c>
      <c r="O341" s="37" t="str">
        <f t="shared" si="17"/>
        <v/>
      </c>
    </row>
    <row r="342" spans="1:15" ht="15">
      <c r="A342" s="30">
        <v>72</v>
      </c>
      <c r="B342" s="31" t="s">
        <v>497</v>
      </c>
      <c r="C342" s="31" t="s">
        <v>473</v>
      </c>
      <c r="D342" s="31" t="s">
        <v>490</v>
      </c>
      <c r="E342" s="31" t="s">
        <v>491</v>
      </c>
      <c r="F342" s="31" t="str">
        <f>IF(H342=1,INDEX('Match Results'!$G$6:$G$185,MATCH(A342,'Match Results'!$A$6:$A$185,0)),INDEX('Match Results'!$H$6:$H$185,MATCH(A342,'Match Results'!$A$6:$A$185,0)))</f>
        <v>B1</v>
      </c>
      <c r="G342" s="31" t="str">
        <f>IF(H342=1,INDEX('Match Results'!$H$6:$H$185,MATCH(A342,'Match Results'!$A$6:$A$185,0)),INDEX('Match Results'!$G$6:$G$185,MATCH(A342,'Match Results'!$A$6:$A$185,0)))</f>
        <v>B2</v>
      </c>
      <c r="H342" s="31">
        <v>1</v>
      </c>
      <c r="I342" s="31">
        <v>3</v>
      </c>
      <c r="J342" s="32"/>
      <c r="K342" s="31" t="str">
        <f>IF(J342="","",IFERROR(INDEX('Team Rosters'!$C$6:$C$205,MATCH(J342,'Team Rosters'!$B$6:$B$205,0)),"CODE NOT FOUND"))</f>
        <v/>
      </c>
      <c r="L342" s="31" t="str">
        <f t="shared" si="15"/>
        <v/>
      </c>
      <c r="M342" s="31" t="str">
        <f>IF(OR(J342="",C342&lt;&gt;"League",L342&lt;&gt;"VALID"),"",COUNTIFS($J$6:J342,J342,$G$6:G342,G342,$C$6:C342,"League"))</f>
        <v/>
      </c>
      <c r="N342" s="31" t="str">
        <f t="shared" si="16"/>
        <v/>
      </c>
      <c r="O342" s="37" t="str">
        <f t="shared" si="17"/>
        <v/>
      </c>
    </row>
    <row r="343" spans="1:15" ht="15">
      <c r="A343" s="30">
        <v>72</v>
      </c>
      <c r="B343" s="31" t="s">
        <v>497</v>
      </c>
      <c r="C343" s="31" t="s">
        <v>473</v>
      </c>
      <c r="D343" s="31" t="s">
        <v>490</v>
      </c>
      <c r="E343" s="31" t="s">
        <v>491</v>
      </c>
      <c r="F343" s="31" t="str">
        <f>IF(H343=1,INDEX('Match Results'!$G$6:$G$185,MATCH(A343,'Match Results'!$A$6:$A$185,0)),INDEX('Match Results'!$H$6:$H$185,MATCH(A343,'Match Results'!$A$6:$A$185,0)))</f>
        <v>B1</v>
      </c>
      <c r="G343" s="31" t="str">
        <f>IF(H343=1,INDEX('Match Results'!$H$6:$H$185,MATCH(A343,'Match Results'!$A$6:$A$185,0)),INDEX('Match Results'!$G$6:$G$185,MATCH(A343,'Match Results'!$A$6:$A$185,0)))</f>
        <v>B2</v>
      </c>
      <c r="H343" s="31">
        <v>1</v>
      </c>
      <c r="I343" s="31">
        <v>4</v>
      </c>
      <c r="J343" s="32"/>
      <c r="K343" s="31" t="str">
        <f>IF(J343="","",IFERROR(INDEX('Team Rosters'!$C$6:$C$205,MATCH(J343,'Team Rosters'!$B$6:$B$205,0)),"CODE NOT FOUND"))</f>
        <v/>
      </c>
      <c r="L343" s="31" t="str">
        <f t="shared" si="15"/>
        <v/>
      </c>
      <c r="M343" s="31" t="str">
        <f>IF(OR(J343="",C343&lt;&gt;"League",L343&lt;&gt;"VALID"),"",COUNTIFS($J$6:J343,J343,$G$6:G343,G343,$C$6:C343,"League"))</f>
        <v/>
      </c>
      <c r="N343" s="31" t="str">
        <f t="shared" si="16"/>
        <v/>
      </c>
      <c r="O343" s="37" t="str">
        <f t="shared" si="17"/>
        <v/>
      </c>
    </row>
    <row r="344" spans="1:15" ht="15">
      <c r="A344" s="30">
        <v>72</v>
      </c>
      <c r="B344" s="31" t="s">
        <v>497</v>
      </c>
      <c r="C344" s="31" t="s">
        <v>473</v>
      </c>
      <c r="D344" s="31" t="s">
        <v>490</v>
      </c>
      <c r="E344" s="31" t="s">
        <v>491</v>
      </c>
      <c r="F344" s="31" t="str">
        <f>IF(H344=1,INDEX('Match Results'!$G$6:$G$185,MATCH(A344,'Match Results'!$A$6:$A$185,0)),INDEX('Match Results'!$H$6:$H$185,MATCH(A344,'Match Results'!$A$6:$A$185,0)))</f>
        <v>B1</v>
      </c>
      <c r="G344" s="31" t="str">
        <f>IF(H344=1,INDEX('Match Results'!$H$6:$H$185,MATCH(A344,'Match Results'!$A$6:$A$185,0)),INDEX('Match Results'!$G$6:$G$185,MATCH(A344,'Match Results'!$A$6:$A$185,0)))</f>
        <v>B2</v>
      </c>
      <c r="H344" s="31">
        <v>1</v>
      </c>
      <c r="I344" s="31">
        <v>5</v>
      </c>
      <c r="J344" s="32"/>
      <c r="K344" s="31" t="str">
        <f>IF(J344="","",IFERROR(INDEX('Team Rosters'!$C$6:$C$205,MATCH(J344,'Team Rosters'!$B$6:$B$205,0)),"CODE NOT FOUND"))</f>
        <v/>
      </c>
      <c r="L344" s="31" t="str">
        <f t="shared" si="15"/>
        <v/>
      </c>
      <c r="M344" s="31" t="str">
        <f>IF(OR(J344="",C344&lt;&gt;"League",L344&lt;&gt;"VALID"),"",COUNTIFS($J$6:J344,J344,$G$6:G344,G344,$C$6:C344,"League"))</f>
        <v/>
      </c>
      <c r="N344" s="31" t="str">
        <f t="shared" si="16"/>
        <v/>
      </c>
      <c r="O344" s="37" t="str">
        <f t="shared" si="17"/>
        <v/>
      </c>
    </row>
    <row r="345" spans="1:15" ht="15">
      <c r="A345" s="30">
        <v>72</v>
      </c>
      <c r="B345" s="31" t="s">
        <v>497</v>
      </c>
      <c r="C345" s="31" t="s">
        <v>473</v>
      </c>
      <c r="D345" s="31" t="s">
        <v>490</v>
      </c>
      <c r="E345" s="31" t="s">
        <v>491</v>
      </c>
      <c r="F345" s="31" t="str">
        <f>IF(H345=1,INDEX('Match Results'!$G$6:$G$185,MATCH(A345,'Match Results'!$A$6:$A$185,0)),INDEX('Match Results'!$H$6:$H$185,MATCH(A345,'Match Results'!$A$6:$A$185,0)))</f>
        <v>B1</v>
      </c>
      <c r="G345" s="31" t="str">
        <f>IF(H345=1,INDEX('Match Results'!$H$6:$H$185,MATCH(A345,'Match Results'!$A$6:$A$185,0)),INDEX('Match Results'!$G$6:$G$185,MATCH(A345,'Match Results'!$A$6:$A$185,0)))</f>
        <v>B2</v>
      </c>
      <c r="H345" s="31">
        <v>1</v>
      </c>
      <c r="I345" s="31">
        <v>6</v>
      </c>
      <c r="J345" s="32"/>
      <c r="K345" s="31" t="str">
        <f>IF(J345="","",IFERROR(INDEX('Team Rosters'!$C$6:$C$205,MATCH(J345,'Team Rosters'!$B$6:$B$205,0)),"CODE NOT FOUND"))</f>
        <v/>
      </c>
      <c r="L345" s="31" t="str">
        <f t="shared" si="15"/>
        <v/>
      </c>
      <c r="M345" s="31" t="str">
        <f>IF(OR(J345="",C345&lt;&gt;"League",L345&lt;&gt;"VALID"),"",COUNTIFS($J$6:J345,J345,$G$6:G345,G345,$C$6:C345,"League"))</f>
        <v/>
      </c>
      <c r="N345" s="31" t="str">
        <f t="shared" si="16"/>
        <v/>
      </c>
      <c r="O345" s="37" t="str">
        <f t="shared" si="17"/>
        <v/>
      </c>
    </row>
    <row r="346" spans="1:15" ht="15">
      <c r="A346" s="30">
        <v>72</v>
      </c>
      <c r="B346" s="31" t="s">
        <v>497</v>
      </c>
      <c r="C346" s="31" t="s">
        <v>473</v>
      </c>
      <c r="D346" s="31" t="s">
        <v>490</v>
      </c>
      <c r="E346" s="31" t="s">
        <v>491</v>
      </c>
      <c r="F346" s="31" t="str">
        <f>IF(H346=1,INDEX('Match Results'!$G$6:$G$185,MATCH(A346,'Match Results'!$A$6:$A$185,0)),INDEX('Match Results'!$H$6:$H$185,MATCH(A346,'Match Results'!$A$6:$A$185,0)))</f>
        <v>B1</v>
      </c>
      <c r="G346" s="31" t="str">
        <f>IF(H346=1,INDEX('Match Results'!$H$6:$H$185,MATCH(A346,'Match Results'!$A$6:$A$185,0)),INDEX('Match Results'!$G$6:$G$185,MATCH(A346,'Match Results'!$A$6:$A$185,0)))</f>
        <v>B2</v>
      </c>
      <c r="H346" s="31">
        <v>1</v>
      </c>
      <c r="I346" s="31">
        <v>7</v>
      </c>
      <c r="J346" s="32"/>
      <c r="K346" s="31" t="str">
        <f>IF(J346="","",IFERROR(INDEX('Team Rosters'!$C$6:$C$205,MATCH(J346,'Team Rosters'!$B$6:$B$205,0)),"CODE NOT FOUND"))</f>
        <v/>
      </c>
      <c r="L346" s="31" t="str">
        <f t="shared" si="15"/>
        <v/>
      </c>
      <c r="M346" s="31" t="str">
        <f>IF(OR(J346="",C346&lt;&gt;"League",L346&lt;&gt;"VALID"),"",COUNTIFS($J$6:J346,J346,$G$6:G346,G346,$C$6:C346,"League"))</f>
        <v/>
      </c>
      <c r="N346" s="31" t="str">
        <f t="shared" si="16"/>
        <v/>
      </c>
      <c r="O346" s="37" t="str">
        <f t="shared" si="17"/>
        <v/>
      </c>
    </row>
    <row r="347" spans="1:15" ht="15">
      <c r="A347" s="30">
        <v>72</v>
      </c>
      <c r="B347" s="31" t="s">
        <v>497</v>
      </c>
      <c r="C347" s="31" t="s">
        <v>473</v>
      </c>
      <c r="D347" s="31" t="s">
        <v>490</v>
      </c>
      <c r="E347" s="31" t="s">
        <v>491</v>
      </c>
      <c r="F347" s="31" t="str">
        <f>IF(H347=1,INDEX('Match Results'!$G$6:$G$185,MATCH(A347,'Match Results'!$A$6:$A$185,0)),INDEX('Match Results'!$H$6:$H$185,MATCH(A347,'Match Results'!$A$6:$A$185,0)))</f>
        <v>B2</v>
      </c>
      <c r="G347" s="31" t="str">
        <f>IF(H347=1,INDEX('Match Results'!$H$6:$H$185,MATCH(A347,'Match Results'!$A$6:$A$185,0)),INDEX('Match Results'!$G$6:$G$185,MATCH(A347,'Match Results'!$A$6:$A$185,0)))</f>
        <v>B1</v>
      </c>
      <c r="H347" s="31">
        <v>2</v>
      </c>
      <c r="I347" s="31">
        <v>8</v>
      </c>
      <c r="J347" s="32"/>
      <c r="K347" s="31" t="str">
        <f>IF(J347="","",IFERROR(INDEX('Team Rosters'!$C$6:$C$205,MATCH(J347,'Team Rosters'!$B$6:$B$205,0)),"CODE NOT FOUND"))</f>
        <v/>
      </c>
      <c r="L347" s="31" t="str">
        <f t="shared" si="15"/>
        <v/>
      </c>
      <c r="M347" s="31" t="str">
        <f>IF(OR(J347="",C347&lt;&gt;"League",L347&lt;&gt;"VALID"),"",COUNTIFS($J$6:J347,J347,$G$6:G347,G347,$C$6:C347,"League"))</f>
        <v/>
      </c>
      <c r="N347" s="31" t="str">
        <f t="shared" si="16"/>
        <v/>
      </c>
      <c r="O347" s="37" t="str">
        <f t="shared" si="17"/>
        <v/>
      </c>
    </row>
    <row r="348" spans="1:15" ht="15">
      <c r="A348" s="30">
        <v>72</v>
      </c>
      <c r="B348" s="31" t="s">
        <v>497</v>
      </c>
      <c r="C348" s="31" t="s">
        <v>473</v>
      </c>
      <c r="D348" s="31" t="s">
        <v>490</v>
      </c>
      <c r="E348" s="31" t="s">
        <v>491</v>
      </c>
      <c r="F348" s="31" t="str">
        <f>IF(H348=1,INDEX('Match Results'!$G$6:$G$185,MATCH(A348,'Match Results'!$A$6:$A$185,0)),INDEX('Match Results'!$H$6:$H$185,MATCH(A348,'Match Results'!$A$6:$A$185,0)))</f>
        <v>B2</v>
      </c>
      <c r="G348" s="31" t="str">
        <f>IF(H348=1,INDEX('Match Results'!$H$6:$H$185,MATCH(A348,'Match Results'!$A$6:$A$185,0)),INDEX('Match Results'!$G$6:$G$185,MATCH(A348,'Match Results'!$A$6:$A$185,0)))</f>
        <v>B1</v>
      </c>
      <c r="H348" s="31">
        <v>2</v>
      </c>
      <c r="I348" s="31">
        <v>9</v>
      </c>
      <c r="J348" s="32"/>
      <c r="K348" s="31" t="str">
        <f>IF(J348="","",IFERROR(INDEX('Team Rosters'!$C$6:$C$205,MATCH(J348,'Team Rosters'!$B$6:$B$205,0)),"CODE NOT FOUND"))</f>
        <v/>
      </c>
      <c r="L348" s="31" t="str">
        <f t="shared" si="15"/>
        <v/>
      </c>
      <c r="M348" s="31" t="str">
        <f>IF(OR(J348="",C348&lt;&gt;"League",L348&lt;&gt;"VALID"),"",COUNTIFS($J$6:J348,J348,$G$6:G348,G348,$C$6:C348,"League"))</f>
        <v/>
      </c>
      <c r="N348" s="31" t="str">
        <f t="shared" si="16"/>
        <v/>
      </c>
      <c r="O348" s="37" t="str">
        <f t="shared" si="17"/>
        <v/>
      </c>
    </row>
    <row r="349" spans="1:15" ht="15">
      <c r="A349" s="30">
        <v>72</v>
      </c>
      <c r="B349" s="31" t="s">
        <v>497</v>
      </c>
      <c r="C349" s="31" t="s">
        <v>473</v>
      </c>
      <c r="D349" s="31" t="s">
        <v>490</v>
      </c>
      <c r="E349" s="31" t="s">
        <v>491</v>
      </c>
      <c r="F349" s="31" t="str">
        <f>IF(H349=1,INDEX('Match Results'!$G$6:$G$185,MATCH(A349,'Match Results'!$A$6:$A$185,0)),INDEX('Match Results'!$H$6:$H$185,MATCH(A349,'Match Results'!$A$6:$A$185,0)))</f>
        <v>B2</v>
      </c>
      <c r="G349" s="31" t="str">
        <f>IF(H349=1,INDEX('Match Results'!$H$6:$H$185,MATCH(A349,'Match Results'!$A$6:$A$185,0)),INDEX('Match Results'!$G$6:$G$185,MATCH(A349,'Match Results'!$A$6:$A$185,0)))</f>
        <v>B1</v>
      </c>
      <c r="H349" s="31">
        <v>2</v>
      </c>
      <c r="I349" s="31">
        <v>10</v>
      </c>
      <c r="J349" s="32"/>
      <c r="K349" s="31" t="str">
        <f>IF(J349="","",IFERROR(INDEX('Team Rosters'!$C$6:$C$205,MATCH(J349,'Team Rosters'!$B$6:$B$205,0)),"CODE NOT FOUND"))</f>
        <v/>
      </c>
      <c r="L349" s="31" t="str">
        <f t="shared" si="15"/>
        <v/>
      </c>
      <c r="M349" s="31" t="str">
        <f>IF(OR(J349="",C349&lt;&gt;"League",L349&lt;&gt;"VALID"),"",COUNTIFS($J$6:J349,J349,$G$6:G349,G349,$C$6:C349,"League"))</f>
        <v/>
      </c>
      <c r="N349" s="31" t="str">
        <f t="shared" si="16"/>
        <v/>
      </c>
      <c r="O349" s="37" t="str">
        <f t="shared" si="17"/>
        <v/>
      </c>
    </row>
    <row r="350" spans="1:15" ht="15">
      <c r="A350" s="30">
        <v>72</v>
      </c>
      <c r="B350" s="31" t="s">
        <v>497</v>
      </c>
      <c r="C350" s="31" t="s">
        <v>473</v>
      </c>
      <c r="D350" s="31" t="s">
        <v>490</v>
      </c>
      <c r="E350" s="31" t="s">
        <v>491</v>
      </c>
      <c r="F350" s="31" t="str">
        <f>IF(H350=1,INDEX('Match Results'!$G$6:$G$185,MATCH(A350,'Match Results'!$A$6:$A$185,0)),INDEX('Match Results'!$H$6:$H$185,MATCH(A350,'Match Results'!$A$6:$A$185,0)))</f>
        <v>B2</v>
      </c>
      <c r="G350" s="31" t="str">
        <f>IF(H350=1,INDEX('Match Results'!$H$6:$H$185,MATCH(A350,'Match Results'!$A$6:$A$185,0)),INDEX('Match Results'!$G$6:$G$185,MATCH(A350,'Match Results'!$A$6:$A$185,0)))</f>
        <v>B1</v>
      </c>
      <c r="H350" s="31">
        <v>2</v>
      </c>
      <c r="I350" s="31">
        <v>11</v>
      </c>
      <c r="J350" s="32"/>
      <c r="K350" s="31" t="str">
        <f>IF(J350="","",IFERROR(INDEX('Team Rosters'!$C$6:$C$205,MATCH(J350,'Team Rosters'!$B$6:$B$205,0)),"CODE NOT FOUND"))</f>
        <v/>
      </c>
      <c r="L350" s="31" t="str">
        <f t="shared" si="15"/>
        <v/>
      </c>
      <c r="M350" s="31" t="str">
        <f>IF(OR(J350="",C350&lt;&gt;"League",L350&lt;&gt;"VALID"),"",COUNTIFS($J$6:J350,J350,$G$6:G350,G350,$C$6:C350,"League"))</f>
        <v/>
      </c>
      <c r="N350" s="31" t="str">
        <f t="shared" si="16"/>
        <v/>
      </c>
      <c r="O350" s="37" t="str">
        <f t="shared" si="17"/>
        <v/>
      </c>
    </row>
    <row r="351" spans="1:15" ht="15">
      <c r="A351" s="30">
        <v>72</v>
      </c>
      <c r="B351" s="31" t="s">
        <v>497</v>
      </c>
      <c r="C351" s="31" t="s">
        <v>473</v>
      </c>
      <c r="D351" s="31" t="s">
        <v>490</v>
      </c>
      <c r="E351" s="31" t="s">
        <v>491</v>
      </c>
      <c r="F351" s="31" t="str">
        <f>IF(H351=1,INDEX('Match Results'!$G$6:$G$185,MATCH(A351,'Match Results'!$A$6:$A$185,0)),INDEX('Match Results'!$H$6:$H$185,MATCH(A351,'Match Results'!$A$6:$A$185,0)))</f>
        <v>B2</v>
      </c>
      <c r="G351" s="31" t="str">
        <f>IF(H351=1,INDEX('Match Results'!$H$6:$H$185,MATCH(A351,'Match Results'!$A$6:$A$185,0)),INDEX('Match Results'!$G$6:$G$185,MATCH(A351,'Match Results'!$A$6:$A$185,0)))</f>
        <v>B1</v>
      </c>
      <c r="H351" s="31">
        <v>2</v>
      </c>
      <c r="I351" s="31">
        <v>12</v>
      </c>
      <c r="J351" s="32"/>
      <c r="K351" s="31" t="str">
        <f>IF(J351="","",IFERROR(INDEX('Team Rosters'!$C$6:$C$205,MATCH(J351,'Team Rosters'!$B$6:$B$205,0)),"CODE NOT FOUND"))</f>
        <v/>
      </c>
      <c r="L351" s="31" t="str">
        <f t="shared" si="15"/>
        <v/>
      </c>
      <c r="M351" s="31" t="str">
        <f>IF(OR(J351="",C351&lt;&gt;"League",L351&lt;&gt;"VALID"),"",COUNTIFS($J$6:J351,J351,$G$6:G351,G351,$C$6:C351,"League"))</f>
        <v/>
      </c>
      <c r="N351" s="31" t="str">
        <f t="shared" si="16"/>
        <v/>
      </c>
      <c r="O351" s="37" t="str">
        <f t="shared" si="17"/>
        <v/>
      </c>
    </row>
    <row r="352" spans="1:15" ht="15">
      <c r="A352" s="30">
        <v>72</v>
      </c>
      <c r="B352" s="31" t="s">
        <v>497</v>
      </c>
      <c r="C352" s="31" t="s">
        <v>473</v>
      </c>
      <c r="D352" s="31" t="s">
        <v>490</v>
      </c>
      <c r="E352" s="31" t="s">
        <v>491</v>
      </c>
      <c r="F352" s="31" t="str">
        <f>IF(H352=1,INDEX('Match Results'!$G$6:$G$185,MATCH(A352,'Match Results'!$A$6:$A$185,0)),INDEX('Match Results'!$H$6:$H$185,MATCH(A352,'Match Results'!$A$6:$A$185,0)))</f>
        <v>B2</v>
      </c>
      <c r="G352" s="31" t="str">
        <f>IF(H352=1,INDEX('Match Results'!$H$6:$H$185,MATCH(A352,'Match Results'!$A$6:$A$185,0)),INDEX('Match Results'!$G$6:$G$185,MATCH(A352,'Match Results'!$A$6:$A$185,0)))</f>
        <v>B1</v>
      </c>
      <c r="H352" s="31">
        <v>2</v>
      </c>
      <c r="I352" s="31">
        <v>13</v>
      </c>
      <c r="J352" s="32"/>
      <c r="K352" s="31" t="str">
        <f>IF(J352="","",IFERROR(INDEX('Team Rosters'!$C$6:$C$205,MATCH(J352,'Team Rosters'!$B$6:$B$205,0)),"CODE NOT FOUND"))</f>
        <v/>
      </c>
      <c r="L352" s="31" t="str">
        <f t="shared" si="15"/>
        <v/>
      </c>
      <c r="M352" s="31" t="str">
        <f>IF(OR(J352="",C352&lt;&gt;"League",L352&lt;&gt;"VALID"),"",COUNTIFS($J$6:J352,J352,$G$6:G352,G352,$C$6:C352,"League"))</f>
        <v/>
      </c>
      <c r="N352" s="31" t="str">
        <f t="shared" si="16"/>
        <v/>
      </c>
      <c r="O352" s="37" t="str">
        <f t="shared" si="17"/>
        <v/>
      </c>
    </row>
    <row r="353" spans="1:15" ht="15">
      <c r="A353" s="30">
        <v>72</v>
      </c>
      <c r="B353" s="31" t="s">
        <v>497</v>
      </c>
      <c r="C353" s="31" t="s">
        <v>473</v>
      </c>
      <c r="D353" s="31" t="s">
        <v>490</v>
      </c>
      <c r="E353" s="31" t="s">
        <v>491</v>
      </c>
      <c r="F353" s="31" t="str">
        <f>IF(H353=1,INDEX('Match Results'!$G$6:$G$185,MATCH(A353,'Match Results'!$A$6:$A$185,0)),INDEX('Match Results'!$H$6:$H$185,MATCH(A353,'Match Results'!$A$6:$A$185,0)))</f>
        <v>B2</v>
      </c>
      <c r="G353" s="31" t="str">
        <f>IF(H353=1,INDEX('Match Results'!$H$6:$H$185,MATCH(A353,'Match Results'!$A$6:$A$185,0)),INDEX('Match Results'!$G$6:$G$185,MATCH(A353,'Match Results'!$A$6:$A$185,0)))</f>
        <v>B1</v>
      </c>
      <c r="H353" s="31">
        <v>2</v>
      </c>
      <c r="I353" s="31">
        <v>14</v>
      </c>
      <c r="J353" s="32"/>
      <c r="K353" s="31" t="str">
        <f>IF(J353="","",IFERROR(INDEX('Team Rosters'!$C$6:$C$205,MATCH(J353,'Team Rosters'!$B$6:$B$205,0)),"CODE NOT FOUND"))</f>
        <v/>
      </c>
      <c r="L353" s="31" t="str">
        <f t="shared" si="15"/>
        <v/>
      </c>
      <c r="M353" s="31" t="str">
        <f>IF(OR(J353="",C353&lt;&gt;"League",L353&lt;&gt;"VALID"),"",COUNTIFS($J$6:J353,J353,$G$6:G353,G353,$C$6:C353,"League"))</f>
        <v/>
      </c>
      <c r="N353" s="31" t="str">
        <f t="shared" si="16"/>
        <v/>
      </c>
      <c r="O353" s="37" t="str">
        <f t="shared" si="17"/>
        <v/>
      </c>
    </row>
    <row r="354" spans="1:15" ht="15">
      <c r="A354" s="30">
        <v>73</v>
      </c>
      <c r="B354" s="31" t="s">
        <v>498</v>
      </c>
      <c r="C354" s="31" t="s">
        <v>473</v>
      </c>
      <c r="D354" s="31" t="s">
        <v>471</v>
      </c>
      <c r="E354" s="31" t="s">
        <v>477</v>
      </c>
      <c r="F354" s="31" t="str">
        <f>IF(H354=1,INDEX('Match Results'!$G$6:$G$185,MATCH(A354,'Match Results'!$A$6:$A$185,0)),INDEX('Match Results'!$H$6:$H$185,MATCH(A354,'Match Results'!$A$6:$A$185,0)))</f>
        <v>A2</v>
      </c>
      <c r="G354" s="31" t="str">
        <f>IF(H354=1,INDEX('Match Results'!$H$6:$H$185,MATCH(A354,'Match Results'!$A$6:$A$185,0)),INDEX('Match Results'!$G$6:$G$185,MATCH(A354,'Match Results'!$A$6:$A$185,0)))</f>
        <v>A4</v>
      </c>
      <c r="H354" s="31">
        <v>1</v>
      </c>
      <c r="I354" s="31">
        <v>1</v>
      </c>
      <c r="J354" s="32"/>
      <c r="K354" s="31" t="str">
        <f>IF(J354="","",IFERROR(INDEX('Team Rosters'!$C$6:$C$205,MATCH(J354,'Team Rosters'!$B$6:$B$205,0)),"CODE NOT FOUND"))</f>
        <v/>
      </c>
      <c r="L354" s="31" t="str">
        <f t="shared" si="15"/>
        <v/>
      </c>
      <c r="M354" s="31" t="str">
        <f>IF(OR(J354="",C354&lt;&gt;"League",L354&lt;&gt;"VALID"),"",COUNTIFS($J$6:J354,J354,$G$6:G354,G354,$C$6:C354,"League"))</f>
        <v/>
      </c>
      <c r="N354" s="31" t="str">
        <f t="shared" si="16"/>
        <v/>
      </c>
      <c r="O354" s="37" t="str">
        <f t="shared" si="17"/>
        <v/>
      </c>
    </row>
    <row r="355" spans="1:15" ht="15">
      <c r="A355" s="30">
        <v>73</v>
      </c>
      <c r="B355" s="31" t="s">
        <v>498</v>
      </c>
      <c r="C355" s="31" t="s">
        <v>473</v>
      </c>
      <c r="D355" s="31" t="s">
        <v>471</v>
      </c>
      <c r="E355" s="31" t="s">
        <v>477</v>
      </c>
      <c r="F355" s="31" t="str">
        <f>IF(H355=1,INDEX('Match Results'!$G$6:$G$185,MATCH(A355,'Match Results'!$A$6:$A$185,0)),INDEX('Match Results'!$H$6:$H$185,MATCH(A355,'Match Results'!$A$6:$A$185,0)))</f>
        <v>A2</v>
      </c>
      <c r="G355" s="31" t="str">
        <f>IF(H355=1,INDEX('Match Results'!$H$6:$H$185,MATCH(A355,'Match Results'!$A$6:$A$185,0)),INDEX('Match Results'!$G$6:$G$185,MATCH(A355,'Match Results'!$A$6:$A$185,0)))</f>
        <v>A4</v>
      </c>
      <c r="H355" s="31">
        <v>1</v>
      </c>
      <c r="I355" s="31">
        <v>2</v>
      </c>
      <c r="J355" s="32"/>
      <c r="K355" s="31" t="str">
        <f>IF(J355="","",IFERROR(INDEX('Team Rosters'!$C$6:$C$205,MATCH(J355,'Team Rosters'!$B$6:$B$205,0)),"CODE NOT FOUND"))</f>
        <v/>
      </c>
      <c r="L355" s="31" t="str">
        <f t="shared" si="15"/>
        <v/>
      </c>
      <c r="M355" s="31" t="str">
        <f>IF(OR(J355="",C355&lt;&gt;"League",L355&lt;&gt;"VALID"),"",COUNTIFS($J$6:J355,J355,$G$6:G355,G355,$C$6:C355,"League"))</f>
        <v/>
      </c>
      <c r="N355" s="31" t="str">
        <f t="shared" si="16"/>
        <v/>
      </c>
      <c r="O355" s="37" t="str">
        <f t="shared" si="17"/>
        <v/>
      </c>
    </row>
    <row r="356" spans="1:15" ht="15">
      <c r="A356" s="30">
        <v>73</v>
      </c>
      <c r="B356" s="31" t="s">
        <v>498</v>
      </c>
      <c r="C356" s="31" t="s">
        <v>473</v>
      </c>
      <c r="D356" s="31" t="s">
        <v>471</v>
      </c>
      <c r="E356" s="31" t="s">
        <v>477</v>
      </c>
      <c r="F356" s="31" t="str">
        <f>IF(H356=1,INDEX('Match Results'!$G$6:$G$185,MATCH(A356,'Match Results'!$A$6:$A$185,0)),INDEX('Match Results'!$H$6:$H$185,MATCH(A356,'Match Results'!$A$6:$A$185,0)))</f>
        <v>A4</v>
      </c>
      <c r="G356" s="31" t="str">
        <f>IF(H356=1,INDEX('Match Results'!$H$6:$H$185,MATCH(A356,'Match Results'!$A$6:$A$185,0)),INDEX('Match Results'!$G$6:$G$185,MATCH(A356,'Match Results'!$A$6:$A$185,0)))</f>
        <v>A2</v>
      </c>
      <c r="H356" s="31">
        <v>2</v>
      </c>
      <c r="I356" s="31">
        <v>3</v>
      </c>
      <c r="J356" s="32"/>
      <c r="K356" s="31" t="str">
        <f>IF(J356="","",IFERROR(INDEX('Team Rosters'!$C$6:$C$205,MATCH(J356,'Team Rosters'!$B$6:$B$205,0)),"CODE NOT FOUND"))</f>
        <v/>
      </c>
      <c r="L356" s="31" t="str">
        <f t="shared" si="15"/>
        <v/>
      </c>
      <c r="M356" s="31" t="str">
        <f>IF(OR(J356="",C356&lt;&gt;"League",L356&lt;&gt;"VALID"),"",COUNTIFS($J$6:J356,J356,$G$6:G356,G356,$C$6:C356,"League"))</f>
        <v/>
      </c>
      <c r="N356" s="31" t="str">
        <f t="shared" si="16"/>
        <v/>
      </c>
      <c r="O356" s="37" t="str">
        <f t="shared" si="17"/>
        <v/>
      </c>
    </row>
    <row r="357" spans="1:15" ht="15">
      <c r="A357" s="30">
        <v>73</v>
      </c>
      <c r="B357" s="31" t="s">
        <v>498</v>
      </c>
      <c r="C357" s="31" t="s">
        <v>473</v>
      </c>
      <c r="D357" s="31" t="s">
        <v>471</v>
      </c>
      <c r="E357" s="31" t="s">
        <v>477</v>
      </c>
      <c r="F357" s="31" t="str">
        <f>IF(H357=1,INDEX('Match Results'!$G$6:$G$185,MATCH(A357,'Match Results'!$A$6:$A$185,0)),INDEX('Match Results'!$H$6:$H$185,MATCH(A357,'Match Results'!$A$6:$A$185,0)))</f>
        <v>A4</v>
      </c>
      <c r="G357" s="31" t="str">
        <f>IF(H357=1,INDEX('Match Results'!$H$6:$H$185,MATCH(A357,'Match Results'!$A$6:$A$185,0)),INDEX('Match Results'!$G$6:$G$185,MATCH(A357,'Match Results'!$A$6:$A$185,0)))</f>
        <v>A2</v>
      </c>
      <c r="H357" s="31">
        <v>2</v>
      </c>
      <c r="I357" s="31">
        <v>4</v>
      </c>
      <c r="J357" s="32"/>
      <c r="K357" s="31" t="str">
        <f>IF(J357="","",IFERROR(INDEX('Team Rosters'!$C$6:$C$205,MATCH(J357,'Team Rosters'!$B$6:$B$205,0)),"CODE NOT FOUND"))</f>
        <v/>
      </c>
      <c r="L357" s="31" t="str">
        <f t="shared" si="15"/>
        <v/>
      </c>
      <c r="M357" s="31" t="str">
        <f>IF(OR(J357="",C357&lt;&gt;"League",L357&lt;&gt;"VALID"),"",COUNTIFS($J$6:J357,J357,$G$6:G357,G357,$C$6:C357,"League"))</f>
        <v/>
      </c>
      <c r="N357" s="31" t="str">
        <f t="shared" si="16"/>
        <v/>
      </c>
      <c r="O357" s="37" t="str">
        <f t="shared" si="17"/>
        <v/>
      </c>
    </row>
    <row r="358" spans="1:15" ht="15">
      <c r="A358" s="30">
        <v>74</v>
      </c>
      <c r="B358" s="31" t="s">
        <v>498</v>
      </c>
      <c r="C358" s="31" t="s">
        <v>473</v>
      </c>
      <c r="D358" s="31" t="s">
        <v>471</v>
      </c>
      <c r="E358" s="31" t="s">
        <v>472</v>
      </c>
      <c r="F358" s="31" t="str">
        <f>IF(H358=1,INDEX('Match Results'!$G$6:$G$185,MATCH(A358,'Match Results'!$A$6:$A$185,0)),INDEX('Match Results'!$H$6:$H$185,MATCH(A358,'Match Results'!$A$6:$A$185,0)))</f>
        <v>B1</v>
      </c>
      <c r="G358" s="31" t="str">
        <f>IF(H358=1,INDEX('Match Results'!$H$6:$H$185,MATCH(A358,'Match Results'!$A$6:$A$185,0)),INDEX('Match Results'!$G$6:$G$185,MATCH(A358,'Match Results'!$A$6:$A$185,0)))</f>
        <v>B2</v>
      </c>
      <c r="H358" s="31">
        <v>1</v>
      </c>
      <c r="I358" s="31">
        <v>1</v>
      </c>
      <c r="J358" s="32"/>
      <c r="K358" s="31" t="str">
        <f>IF(J358="","",IFERROR(INDEX('Team Rosters'!$C$6:$C$205,MATCH(J358,'Team Rosters'!$B$6:$B$205,0)),"CODE NOT FOUND"))</f>
        <v/>
      </c>
      <c r="L358" s="31" t="str">
        <f t="shared" si="15"/>
        <v/>
      </c>
      <c r="M358" s="31" t="str">
        <f>IF(OR(J358="",C358&lt;&gt;"League",L358&lt;&gt;"VALID"),"",COUNTIFS($J$6:J358,J358,$G$6:G358,G358,$C$6:C358,"League"))</f>
        <v/>
      </c>
      <c r="N358" s="31" t="str">
        <f t="shared" si="16"/>
        <v/>
      </c>
      <c r="O358" s="37" t="str">
        <f t="shared" si="17"/>
        <v/>
      </c>
    </row>
    <row r="359" spans="1:15" ht="15">
      <c r="A359" s="30">
        <v>74</v>
      </c>
      <c r="B359" s="31" t="s">
        <v>498</v>
      </c>
      <c r="C359" s="31" t="s">
        <v>473</v>
      </c>
      <c r="D359" s="31" t="s">
        <v>471</v>
      </c>
      <c r="E359" s="31" t="s">
        <v>472</v>
      </c>
      <c r="F359" s="31" t="str">
        <f>IF(H359=1,INDEX('Match Results'!$G$6:$G$185,MATCH(A359,'Match Results'!$A$6:$A$185,0)),INDEX('Match Results'!$H$6:$H$185,MATCH(A359,'Match Results'!$A$6:$A$185,0)))</f>
        <v>B1</v>
      </c>
      <c r="G359" s="31" t="str">
        <f>IF(H359=1,INDEX('Match Results'!$H$6:$H$185,MATCH(A359,'Match Results'!$A$6:$A$185,0)),INDEX('Match Results'!$G$6:$G$185,MATCH(A359,'Match Results'!$A$6:$A$185,0)))</f>
        <v>B2</v>
      </c>
      <c r="H359" s="31">
        <v>1</v>
      </c>
      <c r="I359" s="31">
        <v>2</v>
      </c>
      <c r="J359" s="32"/>
      <c r="K359" s="31" t="str">
        <f>IF(J359="","",IFERROR(INDEX('Team Rosters'!$C$6:$C$205,MATCH(J359,'Team Rosters'!$B$6:$B$205,0)),"CODE NOT FOUND"))</f>
        <v/>
      </c>
      <c r="L359" s="31" t="str">
        <f t="shared" si="15"/>
        <v/>
      </c>
      <c r="M359" s="31" t="str">
        <f>IF(OR(J359="",C359&lt;&gt;"League",L359&lt;&gt;"VALID"),"",COUNTIFS($J$6:J359,J359,$G$6:G359,G359,$C$6:C359,"League"))</f>
        <v/>
      </c>
      <c r="N359" s="31" t="str">
        <f t="shared" si="16"/>
        <v/>
      </c>
      <c r="O359" s="37" t="str">
        <f t="shared" si="17"/>
        <v/>
      </c>
    </row>
    <row r="360" spans="1:15" ht="15">
      <c r="A360" s="30">
        <v>74</v>
      </c>
      <c r="B360" s="31" t="s">
        <v>498</v>
      </c>
      <c r="C360" s="31" t="s">
        <v>473</v>
      </c>
      <c r="D360" s="31" t="s">
        <v>471</v>
      </c>
      <c r="E360" s="31" t="s">
        <v>472</v>
      </c>
      <c r="F360" s="31" t="str">
        <f>IF(H360=1,INDEX('Match Results'!$G$6:$G$185,MATCH(A360,'Match Results'!$A$6:$A$185,0)),INDEX('Match Results'!$H$6:$H$185,MATCH(A360,'Match Results'!$A$6:$A$185,0)))</f>
        <v>B2</v>
      </c>
      <c r="G360" s="31" t="str">
        <f>IF(H360=1,INDEX('Match Results'!$H$6:$H$185,MATCH(A360,'Match Results'!$A$6:$A$185,0)),INDEX('Match Results'!$G$6:$G$185,MATCH(A360,'Match Results'!$A$6:$A$185,0)))</f>
        <v>B1</v>
      </c>
      <c r="H360" s="31">
        <v>2</v>
      </c>
      <c r="I360" s="31">
        <v>3</v>
      </c>
      <c r="J360" s="32"/>
      <c r="K360" s="31" t="str">
        <f>IF(J360="","",IFERROR(INDEX('Team Rosters'!$C$6:$C$205,MATCH(J360,'Team Rosters'!$B$6:$B$205,0)),"CODE NOT FOUND"))</f>
        <v/>
      </c>
      <c r="L360" s="31" t="str">
        <f t="shared" si="15"/>
        <v/>
      </c>
      <c r="M360" s="31" t="str">
        <f>IF(OR(J360="",C360&lt;&gt;"League",L360&lt;&gt;"VALID"),"",COUNTIFS($J$6:J360,J360,$G$6:G360,G360,$C$6:C360,"League"))</f>
        <v/>
      </c>
      <c r="N360" s="31" t="str">
        <f t="shared" si="16"/>
        <v/>
      </c>
      <c r="O360" s="37" t="str">
        <f t="shared" si="17"/>
        <v/>
      </c>
    </row>
    <row r="361" spans="1:15" ht="15">
      <c r="A361" s="30">
        <v>74</v>
      </c>
      <c r="B361" s="31" t="s">
        <v>498</v>
      </c>
      <c r="C361" s="31" t="s">
        <v>473</v>
      </c>
      <c r="D361" s="31" t="s">
        <v>471</v>
      </c>
      <c r="E361" s="31" t="s">
        <v>472</v>
      </c>
      <c r="F361" s="31" t="str">
        <f>IF(H361=1,INDEX('Match Results'!$G$6:$G$185,MATCH(A361,'Match Results'!$A$6:$A$185,0)),INDEX('Match Results'!$H$6:$H$185,MATCH(A361,'Match Results'!$A$6:$A$185,0)))</f>
        <v>B2</v>
      </c>
      <c r="G361" s="31" t="str">
        <f>IF(H361=1,INDEX('Match Results'!$H$6:$H$185,MATCH(A361,'Match Results'!$A$6:$A$185,0)),INDEX('Match Results'!$G$6:$G$185,MATCH(A361,'Match Results'!$A$6:$A$185,0)))</f>
        <v>B1</v>
      </c>
      <c r="H361" s="31">
        <v>2</v>
      </c>
      <c r="I361" s="31">
        <v>4</v>
      </c>
      <c r="J361" s="32"/>
      <c r="K361" s="31" t="str">
        <f>IF(J361="","",IFERROR(INDEX('Team Rosters'!$C$6:$C$205,MATCH(J361,'Team Rosters'!$B$6:$B$205,0)),"CODE NOT FOUND"))</f>
        <v/>
      </c>
      <c r="L361" s="31" t="str">
        <f t="shared" si="15"/>
        <v/>
      </c>
      <c r="M361" s="31" t="str">
        <f>IF(OR(J361="",C361&lt;&gt;"League",L361&lt;&gt;"VALID"),"",COUNTIFS($J$6:J361,J361,$G$6:G361,G361,$C$6:C361,"League"))</f>
        <v/>
      </c>
      <c r="N361" s="31" t="str">
        <f t="shared" si="16"/>
        <v/>
      </c>
      <c r="O361" s="37" t="str">
        <f t="shared" si="17"/>
        <v/>
      </c>
    </row>
    <row r="362" spans="1:15" ht="15">
      <c r="A362" s="30">
        <v>75</v>
      </c>
      <c r="B362" s="31" t="s">
        <v>498</v>
      </c>
      <c r="C362" s="31" t="s">
        <v>473</v>
      </c>
      <c r="D362" s="31" t="s">
        <v>471</v>
      </c>
      <c r="E362" s="31" t="s">
        <v>475</v>
      </c>
      <c r="F362" s="31" t="str">
        <f>IF(H362=1,INDEX('Match Results'!$G$6:$G$185,MATCH(A362,'Match Results'!$A$6:$A$185,0)),INDEX('Match Results'!$H$6:$H$185,MATCH(A362,'Match Results'!$A$6:$A$185,0)))</f>
        <v>B3</v>
      </c>
      <c r="G362" s="31" t="str">
        <f>IF(H362=1,INDEX('Match Results'!$H$6:$H$185,MATCH(A362,'Match Results'!$A$6:$A$185,0)),INDEX('Match Results'!$G$6:$G$185,MATCH(A362,'Match Results'!$A$6:$A$185,0)))</f>
        <v>B4</v>
      </c>
      <c r="H362" s="31">
        <v>1</v>
      </c>
      <c r="I362" s="31">
        <v>1</v>
      </c>
      <c r="J362" s="32"/>
      <c r="K362" s="31" t="str">
        <f>IF(J362="","",IFERROR(INDEX('Team Rosters'!$C$6:$C$205,MATCH(J362,'Team Rosters'!$B$6:$B$205,0)),"CODE NOT FOUND"))</f>
        <v/>
      </c>
      <c r="L362" s="31" t="str">
        <f t="shared" si="15"/>
        <v/>
      </c>
      <c r="M362" s="31" t="str">
        <f>IF(OR(J362="",C362&lt;&gt;"League",L362&lt;&gt;"VALID"),"",COUNTIFS($J$6:J362,J362,$G$6:G362,G362,$C$6:C362,"League"))</f>
        <v/>
      </c>
      <c r="N362" s="31" t="str">
        <f t="shared" si="16"/>
        <v/>
      </c>
      <c r="O362" s="37" t="str">
        <f t="shared" si="17"/>
        <v/>
      </c>
    </row>
    <row r="363" spans="1:15" ht="15">
      <c r="A363" s="30">
        <v>75</v>
      </c>
      <c r="B363" s="31" t="s">
        <v>498</v>
      </c>
      <c r="C363" s="31" t="s">
        <v>473</v>
      </c>
      <c r="D363" s="31" t="s">
        <v>471</v>
      </c>
      <c r="E363" s="31" t="s">
        <v>475</v>
      </c>
      <c r="F363" s="31" t="str">
        <f>IF(H363=1,INDEX('Match Results'!$G$6:$G$185,MATCH(A363,'Match Results'!$A$6:$A$185,0)),INDEX('Match Results'!$H$6:$H$185,MATCH(A363,'Match Results'!$A$6:$A$185,0)))</f>
        <v>B3</v>
      </c>
      <c r="G363" s="31" t="str">
        <f>IF(H363=1,INDEX('Match Results'!$H$6:$H$185,MATCH(A363,'Match Results'!$A$6:$A$185,0)),INDEX('Match Results'!$G$6:$G$185,MATCH(A363,'Match Results'!$A$6:$A$185,0)))</f>
        <v>B4</v>
      </c>
      <c r="H363" s="31">
        <v>1</v>
      </c>
      <c r="I363" s="31">
        <v>2</v>
      </c>
      <c r="J363" s="32"/>
      <c r="K363" s="31" t="str">
        <f>IF(J363="","",IFERROR(INDEX('Team Rosters'!$C$6:$C$205,MATCH(J363,'Team Rosters'!$B$6:$B$205,0)),"CODE NOT FOUND"))</f>
        <v/>
      </c>
      <c r="L363" s="31" t="str">
        <f t="shared" si="15"/>
        <v/>
      </c>
      <c r="M363" s="31" t="str">
        <f>IF(OR(J363="",C363&lt;&gt;"League",L363&lt;&gt;"VALID"),"",COUNTIFS($J$6:J363,J363,$G$6:G363,G363,$C$6:C363,"League"))</f>
        <v/>
      </c>
      <c r="N363" s="31" t="str">
        <f t="shared" si="16"/>
        <v/>
      </c>
      <c r="O363" s="37" t="str">
        <f t="shared" si="17"/>
        <v/>
      </c>
    </row>
    <row r="364" spans="1:15" ht="15">
      <c r="A364" s="30">
        <v>75</v>
      </c>
      <c r="B364" s="31" t="s">
        <v>498</v>
      </c>
      <c r="C364" s="31" t="s">
        <v>473</v>
      </c>
      <c r="D364" s="31" t="s">
        <v>471</v>
      </c>
      <c r="E364" s="31" t="s">
        <v>475</v>
      </c>
      <c r="F364" s="31" t="str">
        <f>IF(H364=1,INDEX('Match Results'!$G$6:$G$185,MATCH(A364,'Match Results'!$A$6:$A$185,0)),INDEX('Match Results'!$H$6:$H$185,MATCH(A364,'Match Results'!$A$6:$A$185,0)))</f>
        <v>B4</v>
      </c>
      <c r="G364" s="31" t="str">
        <f>IF(H364=1,INDEX('Match Results'!$H$6:$H$185,MATCH(A364,'Match Results'!$A$6:$A$185,0)),INDEX('Match Results'!$G$6:$G$185,MATCH(A364,'Match Results'!$A$6:$A$185,0)))</f>
        <v>B3</v>
      </c>
      <c r="H364" s="31">
        <v>2</v>
      </c>
      <c r="I364" s="31">
        <v>3</v>
      </c>
      <c r="J364" s="32"/>
      <c r="K364" s="31" t="str">
        <f>IF(J364="","",IFERROR(INDEX('Team Rosters'!$C$6:$C$205,MATCH(J364,'Team Rosters'!$B$6:$B$205,0)),"CODE NOT FOUND"))</f>
        <v/>
      </c>
      <c r="L364" s="31" t="str">
        <f t="shared" si="15"/>
        <v/>
      </c>
      <c r="M364" s="31" t="str">
        <f>IF(OR(J364="",C364&lt;&gt;"League",L364&lt;&gt;"VALID"),"",COUNTIFS($J$6:J364,J364,$G$6:G364,G364,$C$6:C364,"League"))</f>
        <v/>
      </c>
      <c r="N364" s="31" t="str">
        <f t="shared" si="16"/>
        <v/>
      </c>
      <c r="O364" s="37" t="str">
        <f t="shared" si="17"/>
        <v/>
      </c>
    </row>
    <row r="365" spans="1:15" ht="15">
      <c r="A365" s="30">
        <v>75</v>
      </c>
      <c r="B365" s="31" t="s">
        <v>498</v>
      </c>
      <c r="C365" s="31" t="s">
        <v>473</v>
      </c>
      <c r="D365" s="31" t="s">
        <v>471</v>
      </c>
      <c r="E365" s="31" t="s">
        <v>475</v>
      </c>
      <c r="F365" s="31" t="str">
        <f>IF(H365=1,INDEX('Match Results'!$G$6:$G$185,MATCH(A365,'Match Results'!$A$6:$A$185,0)),INDEX('Match Results'!$H$6:$H$185,MATCH(A365,'Match Results'!$A$6:$A$185,0)))</f>
        <v>B4</v>
      </c>
      <c r="G365" s="31" t="str">
        <f>IF(H365=1,INDEX('Match Results'!$H$6:$H$185,MATCH(A365,'Match Results'!$A$6:$A$185,0)),INDEX('Match Results'!$G$6:$G$185,MATCH(A365,'Match Results'!$A$6:$A$185,0)))</f>
        <v>B3</v>
      </c>
      <c r="H365" s="31">
        <v>2</v>
      </c>
      <c r="I365" s="31">
        <v>4</v>
      </c>
      <c r="J365" s="32"/>
      <c r="K365" s="31" t="str">
        <f>IF(J365="","",IFERROR(INDEX('Team Rosters'!$C$6:$C$205,MATCH(J365,'Team Rosters'!$B$6:$B$205,0)),"CODE NOT FOUND"))</f>
        <v/>
      </c>
      <c r="L365" s="31" t="str">
        <f t="shared" si="15"/>
        <v/>
      </c>
      <c r="M365" s="31" t="str">
        <f>IF(OR(J365="",C365&lt;&gt;"League",L365&lt;&gt;"VALID"),"",COUNTIFS($J$6:J365,J365,$G$6:G365,G365,$C$6:C365,"League"))</f>
        <v/>
      </c>
      <c r="N365" s="31" t="str">
        <f t="shared" si="16"/>
        <v/>
      </c>
      <c r="O365" s="37" t="str">
        <f t="shared" si="17"/>
        <v/>
      </c>
    </row>
    <row r="366" spans="1:15" ht="15">
      <c r="A366" s="30">
        <v>76</v>
      </c>
      <c r="B366" s="31" t="s">
        <v>498</v>
      </c>
      <c r="C366" s="31" t="s">
        <v>473</v>
      </c>
      <c r="D366" s="31" t="s">
        <v>479</v>
      </c>
      <c r="E366" s="31" t="s">
        <v>472</v>
      </c>
      <c r="F366" s="31" t="str">
        <f>IF(H366=1,INDEX('Match Results'!$G$6:$G$185,MATCH(A366,'Match Results'!$A$6:$A$185,0)),INDEX('Match Results'!$H$6:$H$185,MATCH(A366,'Match Results'!$A$6:$A$185,0)))</f>
        <v>A1</v>
      </c>
      <c r="G366" s="31" t="str">
        <f>IF(H366=1,INDEX('Match Results'!$H$6:$H$185,MATCH(A366,'Match Results'!$A$6:$A$185,0)),INDEX('Match Results'!$G$6:$G$185,MATCH(A366,'Match Results'!$A$6:$A$185,0)))</f>
        <v>A3</v>
      </c>
      <c r="H366" s="31">
        <v>1</v>
      </c>
      <c r="I366" s="31">
        <v>1</v>
      </c>
      <c r="J366" s="32"/>
      <c r="K366" s="31" t="str">
        <f>IF(J366="","",IFERROR(INDEX('Team Rosters'!$C$6:$C$205,MATCH(J366,'Team Rosters'!$B$6:$B$205,0)),"CODE NOT FOUND"))</f>
        <v/>
      </c>
      <c r="L366" s="31" t="str">
        <f t="shared" si="15"/>
        <v/>
      </c>
      <c r="M366" s="31" t="str">
        <f>IF(OR(J366="",C366&lt;&gt;"League",L366&lt;&gt;"VALID"),"",COUNTIFS($J$6:J366,J366,$G$6:G366,G366,$C$6:C366,"League"))</f>
        <v/>
      </c>
      <c r="N366" s="31" t="str">
        <f t="shared" si="16"/>
        <v/>
      </c>
      <c r="O366" s="37" t="str">
        <f t="shared" si="17"/>
        <v/>
      </c>
    </row>
    <row r="367" spans="1:15" ht="15">
      <c r="A367" s="30">
        <v>76</v>
      </c>
      <c r="B367" s="31" t="s">
        <v>498</v>
      </c>
      <c r="C367" s="31" t="s">
        <v>473</v>
      </c>
      <c r="D367" s="31" t="s">
        <v>479</v>
      </c>
      <c r="E367" s="31" t="s">
        <v>472</v>
      </c>
      <c r="F367" s="31" t="str">
        <f>IF(H367=1,INDEX('Match Results'!$G$6:$G$185,MATCH(A367,'Match Results'!$A$6:$A$185,0)),INDEX('Match Results'!$H$6:$H$185,MATCH(A367,'Match Results'!$A$6:$A$185,0)))</f>
        <v>A1</v>
      </c>
      <c r="G367" s="31" t="str">
        <f>IF(H367=1,INDEX('Match Results'!$H$6:$H$185,MATCH(A367,'Match Results'!$A$6:$A$185,0)),INDEX('Match Results'!$G$6:$G$185,MATCH(A367,'Match Results'!$A$6:$A$185,0)))</f>
        <v>A3</v>
      </c>
      <c r="H367" s="31">
        <v>1</v>
      </c>
      <c r="I367" s="31">
        <v>2</v>
      </c>
      <c r="J367" s="32"/>
      <c r="K367" s="31" t="str">
        <f>IF(J367="","",IFERROR(INDEX('Team Rosters'!$C$6:$C$205,MATCH(J367,'Team Rosters'!$B$6:$B$205,0)),"CODE NOT FOUND"))</f>
        <v/>
      </c>
      <c r="L367" s="31" t="str">
        <f t="shared" si="15"/>
        <v/>
      </c>
      <c r="M367" s="31" t="str">
        <f>IF(OR(J367="",C367&lt;&gt;"League",L367&lt;&gt;"VALID"),"",COUNTIFS($J$6:J367,J367,$G$6:G367,G367,$C$6:C367,"League"))</f>
        <v/>
      </c>
      <c r="N367" s="31" t="str">
        <f t="shared" si="16"/>
        <v/>
      </c>
      <c r="O367" s="37" t="str">
        <f t="shared" si="17"/>
        <v/>
      </c>
    </row>
    <row r="368" spans="1:15" ht="15">
      <c r="A368" s="30">
        <v>76</v>
      </c>
      <c r="B368" s="31" t="s">
        <v>498</v>
      </c>
      <c r="C368" s="31" t="s">
        <v>473</v>
      </c>
      <c r="D368" s="31" t="s">
        <v>479</v>
      </c>
      <c r="E368" s="31" t="s">
        <v>472</v>
      </c>
      <c r="F368" s="31" t="str">
        <f>IF(H368=1,INDEX('Match Results'!$G$6:$G$185,MATCH(A368,'Match Results'!$A$6:$A$185,0)),INDEX('Match Results'!$H$6:$H$185,MATCH(A368,'Match Results'!$A$6:$A$185,0)))</f>
        <v>A3</v>
      </c>
      <c r="G368" s="31" t="str">
        <f>IF(H368=1,INDEX('Match Results'!$H$6:$H$185,MATCH(A368,'Match Results'!$A$6:$A$185,0)),INDEX('Match Results'!$G$6:$G$185,MATCH(A368,'Match Results'!$A$6:$A$185,0)))</f>
        <v>A1</v>
      </c>
      <c r="H368" s="31">
        <v>2</v>
      </c>
      <c r="I368" s="31">
        <v>3</v>
      </c>
      <c r="J368" s="32"/>
      <c r="K368" s="31" t="str">
        <f>IF(J368="","",IFERROR(INDEX('Team Rosters'!$C$6:$C$205,MATCH(J368,'Team Rosters'!$B$6:$B$205,0)),"CODE NOT FOUND"))</f>
        <v/>
      </c>
      <c r="L368" s="31" t="str">
        <f t="shared" si="15"/>
        <v/>
      </c>
      <c r="M368" s="31" t="str">
        <f>IF(OR(J368="",C368&lt;&gt;"League",L368&lt;&gt;"VALID"),"",COUNTIFS($J$6:J368,J368,$G$6:G368,G368,$C$6:C368,"League"))</f>
        <v/>
      </c>
      <c r="N368" s="31" t="str">
        <f t="shared" si="16"/>
        <v/>
      </c>
      <c r="O368" s="37" t="str">
        <f t="shared" si="17"/>
        <v/>
      </c>
    </row>
    <row r="369" spans="1:15" ht="15">
      <c r="A369" s="30">
        <v>76</v>
      </c>
      <c r="B369" s="31" t="s">
        <v>498</v>
      </c>
      <c r="C369" s="31" t="s">
        <v>473</v>
      </c>
      <c r="D369" s="31" t="s">
        <v>479</v>
      </c>
      <c r="E369" s="31" t="s">
        <v>472</v>
      </c>
      <c r="F369" s="31" t="str">
        <f>IF(H369=1,INDEX('Match Results'!$G$6:$G$185,MATCH(A369,'Match Results'!$A$6:$A$185,0)),INDEX('Match Results'!$H$6:$H$185,MATCH(A369,'Match Results'!$A$6:$A$185,0)))</f>
        <v>A3</v>
      </c>
      <c r="G369" s="31" t="str">
        <f>IF(H369=1,INDEX('Match Results'!$H$6:$H$185,MATCH(A369,'Match Results'!$A$6:$A$185,0)),INDEX('Match Results'!$G$6:$G$185,MATCH(A369,'Match Results'!$A$6:$A$185,0)))</f>
        <v>A1</v>
      </c>
      <c r="H369" s="31">
        <v>2</v>
      </c>
      <c r="I369" s="31">
        <v>4</v>
      </c>
      <c r="J369" s="32"/>
      <c r="K369" s="31" t="str">
        <f>IF(J369="","",IFERROR(INDEX('Team Rosters'!$C$6:$C$205,MATCH(J369,'Team Rosters'!$B$6:$B$205,0)),"CODE NOT FOUND"))</f>
        <v/>
      </c>
      <c r="L369" s="31" t="str">
        <f t="shared" si="15"/>
        <v/>
      </c>
      <c r="M369" s="31" t="str">
        <f>IF(OR(J369="",C369&lt;&gt;"League",L369&lt;&gt;"VALID"),"",COUNTIFS($J$6:J369,J369,$G$6:G369,G369,$C$6:C369,"League"))</f>
        <v/>
      </c>
      <c r="N369" s="31" t="str">
        <f t="shared" si="16"/>
        <v/>
      </c>
      <c r="O369" s="37" t="str">
        <f t="shared" si="17"/>
        <v/>
      </c>
    </row>
    <row r="370" spans="1:15" ht="15">
      <c r="A370" s="30">
        <v>77</v>
      </c>
      <c r="B370" s="31" t="s">
        <v>498</v>
      </c>
      <c r="C370" s="31" t="s">
        <v>473</v>
      </c>
      <c r="D370" s="31" t="s">
        <v>479</v>
      </c>
      <c r="E370" s="31" t="s">
        <v>477</v>
      </c>
      <c r="F370" s="31" t="str">
        <f>IF(H370=1,INDEX('Match Results'!$G$6:$G$185,MATCH(A370,'Match Results'!$A$6:$A$185,0)),INDEX('Match Results'!$H$6:$H$185,MATCH(A370,'Match Results'!$A$6:$A$185,0)))</f>
        <v>B1</v>
      </c>
      <c r="G370" s="31" t="str">
        <f>IF(H370=1,INDEX('Match Results'!$H$6:$H$185,MATCH(A370,'Match Results'!$A$6:$A$185,0)),INDEX('Match Results'!$G$6:$G$185,MATCH(A370,'Match Results'!$A$6:$A$185,0)))</f>
        <v>B3</v>
      </c>
      <c r="H370" s="31">
        <v>1</v>
      </c>
      <c r="I370" s="31">
        <v>1</v>
      </c>
      <c r="J370" s="32"/>
      <c r="K370" s="31" t="str">
        <f>IF(J370="","",IFERROR(INDEX('Team Rosters'!$C$6:$C$205,MATCH(J370,'Team Rosters'!$B$6:$B$205,0)),"CODE NOT FOUND"))</f>
        <v/>
      </c>
      <c r="L370" s="31" t="str">
        <f t="shared" si="15"/>
        <v/>
      </c>
      <c r="M370" s="31" t="str">
        <f>IF(OR(J370="",C370&lt;&gt;"League",L370&lt;&gt;"VALID"),"",COUNTIFS($J$6:J370,J370,$G$6:G370,G370,$C$6:C370,"League"))</f>
        <v/>
      </c>
      <c r="N370" s="31" t="str">
        <f t="shared" si="16"/>
        <v/>
      </c>
      <c r="O370" s="37" t="str">
        <f t="shared" si="17"/>
        <v/>
      </c>
    </row>
    <row r="371" spans="1:15" ht="15">
      <c r="A371" s="30">
        <v>77</v>
      </c>
      <c r="B371" s="31" t="s">
        <v>498</v>
      </c>
      <c r="C371" s="31" t="s">
        <v>473</v>
      </c>
      <c r="D371" s="31" t="s">
        <v>479</v>
      </c>
      <c r="E371" s="31" t="s">
        <v>477</v>
      </c>
      <c r="F371" s="31" t="str">
        <f>IF(H371=1,INDEX('Match Results'!$G$6:$G$185,MATCH(A371,'Match Results'!$A$6:$A$185,0)),INDEX('Match Results'!$H$6:$H$185,MATCH(A371,'Match Results'!$A$6:$A$185,0)))</f>
        <v>B1</v>
      </c>
      <c r="G371" s="31" t="str">
        <f>IF(H371=1,INDEX('Match Results'!$H$6:$H$185,MATCH(A371,'Match Results'!$A$6:$A$185,0)),INDEX('Match Results'!$G$6:$G$185,MATCH(A371,'Match Results'!$A$6:$A$185,0)))</f>
        <v>B3</v>
      </c>
      <c r="H371" s="31">
        <v>1</v>
      </c>
      <c r="I371" s="31">
        <v>2</v>
      </c>
      <c r="J371" s="32"/>
      <c r="K371" s="31" t="str">
        <f>IF(J371="","",IFERROR(INDEX('Team Rosters'!$C$6:$C$205,MATCH(J371,'Team Rosters'!$B$6:$B$205,0)),"CODE NOT FOUND"))</f>
        <v/>
      </c>
      <c r="L371" s="31" t="str">
        <f t="shared" si="15"/>
        <v/>
      </c>
      <c r="M371" s="31" t="str">
        <f>IF(OR(J371="",C371&lt;&gt;"League",L371&lt;&gt;"VALID"),"",COUNTIFS($J$6:J371,J371,$G$6:G371,G371,$C$6:C371,"League"))</f>
        <v/>
      </c>
      <c r="N371" s="31" t="str">
        <f t="shared" si="16"/>
        <v/>
      </c>
      <c r="O371" s="37" t="str">
        <f t="shared" si="17"/>
        <v/>
      </c>
    </row>
    <row r="372" spans="1:15" ht="15">
      <c r="A372" s="30">
        <v>77</v>
      </c>
      <c r="B372" s="31" t="s">
        <v>498</v>
      </c>
      <c r="C372" s="31" t="s">
        <v>473</v>
      </c>
      <c r="D372" s="31" t="s">
        <v>479</v>
      </c>
      <c r="E372" s="31" t="s">
        <v>477</v>
      </c>
      <c r="F372" s="31" t="str">
        <f>IF(H372=1,INDEX('Match Results'!$G$6:$G$185,MATCH(A372,'Match Results'!$A$6:$A$185,0)),INDEX('Match Results'!$H$6:$H$185,MATCH(A372,'Match Results'!$A$6:$A$185,0)))</f>
        <v>B3</v>
      </c>
      <c r="G372" s="31" t="str">
        <f>IF(H372=1,INDEX('Match Results'!$H$6:$H$185,MATCH(A372,'Match Results'!$A$6:$A$185,0)),INDEX('Match Results'!$G$6:$G$185,MATCH(A372,'Match Results'!$A$6:$A$185,0)))</f>
        <v>B1</v>
      </c>
      <c r="H372" s="31">
        <v>2</v>
      </c>
      <c r="I372" s="31">
        <v>3</v>
      </c>
      <c r="J372" s="32"/>
      <c r="K372" s="31" t="str">
        <f>IF(J372="","",IFERROR(INDEX('Team Rosters'!$C$6:$C$205,MATCH(J372,'Team Rosters'!$B$6:$B$205,0)),"CODE NOT FOUND"))</f>
        <v/>
      </c>
      <c r="L372" s="31" t="str">
        <f t="shared" si="15"/>
        <v/>
      </c>
      <c r="M372" s="31" t="str">
        <f>IF(OR(J372="",C372&lt;&gt;"League",L372&lt;&gt;"VALID"),"",COUNTIFS($J$6:J372,J372,$G$6:G372,G372,$C$6:C372,"League"))</f>
        <v/>
      </c>
      <c r="N372" s="31" t="str">
        <f t="shared" si="16"/>
        <v/>
      </c>
      <c r="O372" s="37" t="str">
        <f t="shared" si="17"/>
        <v/>
      </c>
    </row>
    <row r="373" spans="1:15" ht="15">
      <c r="A373" s="30">
        <v>77</v>
      </c>
      <c r="B373" s="31" t="s">
        <v>498</v>
      </c>
      <c r="C373" s="31" t="s">
        <v>473</v>
      </c>
      <c r="D373" s="31" t="s">
        <v>479</v>
      </c>
      <c r="E373" s="31" t="s">
        <v>477</v>
      </c>
      <c r="F373" s="31" t="str">
        <f>IF(H373=1,INDEX('Match Results'!$G$6:$G$185,MATCH(A373,'Match Results'!$A$6:$A$185,0)),INDEX('Match Results'!$H$6:$H$185,MATCH(A373,'Match Results'!$A$6:$A$185,0)))</f>
        <v>B3</v>
      </c>
      <c r="G373" s="31" t="str">
        <f>IF(H373=1,INDEX('Match Results'!$H$6:$H$185,MATCH(A373,'Match Results'!$A$6:$A$185,0)),INDEX('Match Results'!$G$6:$G$185,MATCH(A373,'Match Results'!$A$6:$A$185,0)))</f>
        <v>B1</v>
      </c>
      <c r="H373" s="31">
        <v>2</v>
      </c>
      <c r="I373" s="31">
        <v>4</v>
      </c>
      <c r="J373" s="32"/>
      <c r="K373" s="31" t="str">
        <f>IF(J373="","",IFERROR(INDEX('Team Rosters'!$C$6:$C$205,MATCH(J373,'Team Rosters'!$B$6:$B$205,0)),"CODE NOT FOUND"))</f>
        <v/>
      </c>
      <c r="L373" s="31" t="str">
        <f t="shared" si="15"/>
        <v/>
      </c>
      <c r="M373" s="31" t="str">
        <f>IF(OR(J373="",C373&lt;&gt;"League",L373&lt;&gt;"VALID"),"",COUNTIFS($J$6:J373,J373,$G$6:G373,G373,$C$6:C373,"League"))</f>
        <v/>
      </c>
      <c r="N373" s="31" t="str">
        <f t="shared" si="16"/>
        <v/>
      </c>
      <c r="O373" s="37" t="str">
        <f t="shared" si="17"/>
        <v/>
      </c>
    </row>
    <row r="374" spans="1:15" ht="15">
      <c r="A374" s="30">
        <v>78</v>
      </c>
      <c r="B374" s="31" t="s">
        <v>498</v>
      </c>
      <c r="C374" s="31" t="s">
        <v>473</v>
      </c>
      <c r="D374" s="31" t="s">
        <v>479</v>
      </c>
      <c r="E374" s="31" t="s">
        <v>475</v>
      </c>
      <c r="F374" s="31" t="str">
        <f>IF(H374=1,INDEX('Match Results'!$G$6:$G$185,MATCH(A374,'Match Results'!$A$6:$A$185,0)),INDEX('Match Results'!$H$6:$H$185,MATCH(A374,'Match Results'!$A$6:$A$185,0)))</f>
        <v>B2</v>
      </c>
      <c r="G374" s="31" t="str">
        <f>IF(H374=1,INDEX('Match Results'!$H$6:$H$185,MATCH(A374,'Match Results'!$A$6:$A$185,0)),INDEX('Match Results'!$G$6:$G$185,MATCH(A374,'Match Results'!$A$6:$A$185,0)))</f>
        <v>B4</v>
      </c>
      <c r="H374" s="31">
        <v>1</v>
      </c>
      <c r="I374" s="31">
        <v>1</v>
      </c>
      <c r="J374" s="32"/>
      <c r="K374" s="31" t="str">
        <f>IF(J374="","",IFERROR(INDEX('Team Rosters'!$C$6:$C$205,MATCH(J374,'Team Rosters'!$B$6:$B$205,0)),"CODE NOT FOUND"))</f>
        <v/>
      </c>
      <c r="L374" s="31" t="str">
        <f t="shared" si="15"/>
        <v/>
      </c>
      <c r="M374" s="31" t="str">
        <f>IF(OR(J374="",C374&lt;&gt;"League",L374&lt;&gt;"VALID"),"",COUNTIFS($J$6:J374,J374,$G$6:G374,G374,$C$6:C374,"League"))</f>
        <v/>
      </c>
      <c r="N374" s="31" t="str">
        <f t="shared" si="16"/>
        <v/>
      </c>
      <c r="O374" s="37" t="str">
        <f t="shared" si="17"/>
        <v/>
      </c>
    </row>
    <row r="375" spans="1:15" ht="15">
      <c r="A375" s="30">
        <v>78</v>
      </c>
      <c r="B375" s="31" t="s">
        <v>498</v>
      </c>
      <c r="C375" s="31" t="s">
        <v>473</v>
      </c>
      <c r="D375" s="31" t="s">
        <v>479</v>
      </c>
      <c r="E375" s="31" t="s">
        <v>475</v>
      </c>
      <c r="F375" s="31" t="str">
        <f>IF(H375=1,INDEX('Match Results'!$G$6:$G$185,MATCH(A375,'Match Results'!$A$6:$A$185,0)),INDEX('Match Results'!$H$6:$H$185,MATCH(A375,'Match Results'!$A$6:$A$185,0)))</f>
        <v>B2</v>
      </c>
      <c r="G375" s="31" t="str">
        <f>IF(H375=1,INDEX('Match Results'!$H$6:$H$185,MATCH(A375,'Match Results'!$A$6:$A$185,0)),INDEX('Match Results'!$G$6:$G$185,MATCH(A375,'Match Results'!$A$6:$A$185,0)))</f>
        <v>B4</v>
      </c>
      <c r="H375" s="31">
        <v>1</v>
      </c>
      <c r="I375" s="31">
        <v>2</v>
      </c>
      <c r="J375" s="32"/>
      <c r="K375" s="31" t="str">
        <f>IF(J375="","",IFERROR(INDEX('Team Rosters'!$C$6:$C$205,MATCH(J375,'Team Rosters'!$B$6:$B$205,0)),"CODE NOT FOUND"))</f>
        <v/>
      </c>
      <c r="L375" s="31" t="str">
        <f t="shared" si="15"/>
        <v/>
      </c>
      <c r="M375" s="31" t="str">
        <f>IF(OR(J375="",C375&lt;&gt;"League",L375&lt;&gt;"VALID"),"",COUNTIFS($J$6:J375,J375,$G$6:G375,G375,$C$6:C375,"League"))</f>
        <v/>
      </c>
      <c r="N375" s="31" t="str">
        <f t="shared" si="16"/>
        <v/>
      </c>
      <c r="O375" s="37" t="str">
        <f t="shared" si="17"/>
        <v/>
      </c>
    </row>
    <row r="376" spans="1:15" ht="15">
      <c r="A376" s="30">
        <v>78</v>
      </c>
      <c r="B376" s="31" t="s">
        <v>498</v>
      </c>
      <c r="C376" s="31" t="s">
        <v>473</v>
      </c>
      <c r="D376" s="31" t="s">
        <v>479</v>
      </c>
      <c r="E376" s="31" t="s">
        <v>475</v>
      </c>
      <c r="F376" s="31" t="str">
        <f>IF(H376=1,INDEX('Match Results'!$G$6:$G$185,MATCH(A376,'Match Results'!$A$6:$A$185,0)),INDEX('Match Results'!$H$6:$H$185,MATCH(A376,'Match Results'!$A$6:$A$185,0)))</f>
        <v>B4</v>
      </c>
      <c r="G376" s="31" t="str">
        <f>IF(H376=1,INDEX('Match Results'!$H$6:$H$185,MATCH(A376,'Match Results'!$A$6:$A$185,0)),INDEX('Match Results'!$G$6:$G$185,MATCH(A376,'Match Results'!$A$6:$A$185,0)))</f>
        <v>B2</v>
      </c>
      <c r="H376" s="31">
        <v>2</v>
      </c>
      <c r="I376" s="31">
        <v>3</v>
      </c>
      <c r="J376" s="32"/>
      <c r="K376" s="31" t="str">
        <f>IF(J376="","",IFERROR(INDEX('Team Rosters'!$C$6:$C$205,MATCH(J376,'Team Rosters'!$B$6:$B$205,0)),"CODE NOT FOUND"))</f>
        <v/>
      </c>
      <c r="L376" s="31" t="str">
        <f t="shared" si="15"/>
        <v/>
      </c>
      <c r="M376" s="31" t="str">
        <f>IF(OR(J376="",C376&lt;&gt;"League",L376&lt;&gt;"VALID"),"",COUNTIFS($J$6:J376,J376,$G$6:G376,G376,$C$6:C376,"League"))</f>
        <v/>
      </c>
      <c r="N376" s="31" t="str">
        <f t="shared" si="16"/>
        <v/>
      </c>
      <c r="O376" s="37" t="str">
        <f t="shared" si="17"/>
        <v/>
      </c>
    </row>
    <row r="377" spans="1:15" ht="15">
      <c r="A377" s="30">
        <v>78</v>
      </c>
      <c r="B377" s="31" t="s">
        <v>498</v>
      </c>
      <c r="C377" s="31" t="s">
        <v>473</v>
      </c>
      <c r="D377" s="31" t="s">
        <v>479</v>
      </c>
      <c r="E377" s="31" t="s">
        <v>475</v>
      </c>
      <c r="F377" s="31" t="str">
        <f>IF(H377=1,INDEX('Match Results'!$G$6:$G$185,MATCH(A377,'Match Results'!$A$6:$A$185,0)),INDEX('Match Results'!$H$6:$H$185,MATCH(A377,'Match Results'!$A$6:$A$185,0)))</f>
        <v>B4</v>
      </c>
      <c r="G377" s="31" t="str">
        <f>IF(H377=1,INDEX('Match Results'!$H$6:$H$185,MATCH(A377,'Match Results'!$A$6:$A$185,0)),INDEX('Match Results'!$G$6:$G$185,MATCH(A377,'Match Results'!$A$6:$A$185,0)))</f>
        <v>B2</v>
      </c>
      <c r="H377" s="31">
        <v>2</v>
      </c>
      <c r="I377" s="31">
        <v>4</v>
      </c>
      <c r="J377" s="32"/>
      <c r="K377" s="31" t="str">
        <f>IF(J377="","",IFERROR(INDEX('Team Rosters'!$C$6:$C$205,MATCH(J377,'Team Rosters'!$B$6:$B$205,0)),"CODE NOT FOUND"))</f>
        <v/>
      </c>
      <c r="L377" s="31" t="str">
        <f t="shared" si="15"/>
        <v/>
      </c>
      <c r="M377" s="31" t="str">
        <f>IF(OR(J377="",C377&lt;&gt;"League",L377&lt;&gt;"VALID"),"",COUNTIFS($J$6:J377,J377,$G$6:G377,G377,$C$6:C377,"League"))</f>
        <v/>
      </c>
      <c r="N377" s="31" t="str">
        <f t="shared" si="16"/>
        <v/>
      </c>
      <c r="O377" s="37" t="str">
        <f t="shared" si="17"/>
        <v/>
      </c>
    </row>
    <row r="378" spans="1:15" ht="15">
      <c r="A378" s="30">
        <v>79</v>
      </c>
      <c r="B378" s="31" t="s">
        <v>498</v>
      </c>
      <c r="C378" s="31" t="s">
        <v>473</v>
      </c>
      <c r="D378" s="31" t="s">
        <v>483</v>
      </c>
      <c r="E378" s="31" t="s">
        <v>472</v>
      </c>
      <c r="F378" s="31" t="str">
        <f>IF(H378=1,INDEX('Match Results'!$G$6:$G$185,MATCH(A378,'Match Results'!$A$6:$A$185,0)),INDEX('Match Results'!$H$6:$H$185,MATCH(A378,'Match Results'!$A$6:$A$185,0)))</f>
        <v>A1</v>
      </c>
      <c r="G378" s="31" t="str">
        <f>IF(H378=1,INDEX('Match Results'!$H$6:$H$185,MATCH(A378,'Match Results'!$A$6:$A$185,0)),INDEX('Match Results'!$G$6:$G$185,MATCH(A378,'Match Results'!$A$6:$A$185,0)))</f>
        <v>A2</v>
      </c>
      <c r="H378" s="31">
        <v>1</v>
      </c>
      <c r="I378" s="31">
        <v>1</v>
      </c>
      <c r="J378" s="32"/>
      <c r="K378" s="31" t="str">
        <f>IF(J378="","",IFERROR(INDEX('Team Rosters'!$C$6:$C$205,MATCH(J378,'Team Rosters'!$B$6:$B$205,0)),"CODE NOT FOUND"))</f>
        <v/>
      </c>
      <c r="L378" s="31" t="str">
        <f t="shared" si="15"/>
        <v/>
      </c>
      <c r="M378" s="31" t="str">
        <f>IF(OR(J378="",C378&lt;&gt;"League",L378&lt;&gt;"VALID"),"",COUNTIFS($J$6:J378,J378,$G$6:G378,G378,$C$6:C378,"League"))</f>
        <v/>
      </c>
      <c r="N378" s="31" t="str">
        <f t="shared" si="16"/>
        <v/>
      </c>
      <c r="O378" s="37" t="str">
        <f t="shared" si="17"/>
        <v/>
      </c>
    </row>
    <row r="379" spans="1:15" ht="15">
      <c r="A379" s="30">
        <v>79</v>
      </c>
      <c r="B379" s="31" t="s">
        <v>498</v>
      </c>
      <c r="C379" s="31" t="s">
        <v>473</v>
      </c>
      <c r="D379" s="31" t="s">
        <v>483</v>
      </c>
      <c r="E379" s="31" t="s">
        <v>472</v>
      </c>
      <c r="F379" s="31" t="str">
        <f>IF(H379=1,INDEX('Match Results'!$G$6:$G$185,MATCH(A379,'Match Results'!$A$6:$A$185,0)),INDEX('Match Results'!$H$6:$H$185,MATCH(A379,'Match Results'!$A$6:$A$185,0)))</f>
        <v>A1</v>
      </c>
      <c r="G379" s="31" t="str">
        <f>IF(H379=1,INDEX('Match Results'!$H$6:$H$185,MATCH(A379,'Match Results'!$A$6:$A$185,0)),INDEX('Match Results'!$G$6:$G$185,MATCH(A379,'Match Results'!$A$6:$A$185,0)))</f>
        <v>A2</v>
      </c>
      <c r="H379" s="31">
        <v>1</v>
      </c>
      <c r="I379" s="31">
        <v>2</v>
      </c>
      <c r="J379" s="32"/>
      <c r="K379" s="31" t="str">
        <f>IF(J379="","",IFERROR(INDEX('Team Rosters'!$C$6:$C$205,MATCH(J379,'Team Rosters'!$B$6:$B$205,0)),"CODE NOT FOUND"))</f>
        <v/>
      </c>
      <c r="L379" s="31" t="str">
        <f t="shared" si="15"/>
        <v/>
      </c>
      <c r="M379" s="31" t="str">
        <f>IF(OR(J379="",C379&lt;&gt;"League",L379&lt;&gt;"VALID"),"",COUNTIFS($J$6:J379,J379,$G$6:G379,G379,$C$6:C379,"League"))</f>
        <v/>
      </c>
      <c r="N379" s="31" t="str">
        <f t="shared" si="16"/>
        <v/>
      </c>
      <c r="O379" s="37" t="str">
        <f t="shared" si="17"/>
        <v/>
      </c>
    </row>
    <row r="380" spans="1:15" ht="15">
      <c r="A380" s="30">
        <v>79</v>
      </c>
      <c r="B380" s="31" t="s">
        <v>498</v>
      </c>
      <c r="C380" s="31" t="s">
        <v>473</v>
      </c>
      <c r="D380" s="31" t="s">
        <v>483</v>
      </c>
      <c r="E380" s="31" t="s">
        <v>472</v>
      </c>
      <c r="F380" s="31" t="str">
        <f>IF(H380=1,INDEX('Match Results'!$G$6:$G$185,MATCH(A380,'Match Results'!$A$6:$A$185,0)),INDEX('Match Results'!$H$6:$H$185,MATCH(A380,'Match Results'!$A$6:$A$185,0)))</f>
        <v>A2</v>
      </c>
      <c r="G380" s="31" t="str">
        <f>IF(H380=1,INDEX('Match Results'!$H$6:$H$185,MATCH(A380,'Match Results'!$A$6:$A$185,0)),INDEX('Match Results'!$G$6:$G$185,MATCH(A380,'Match Results'!$A$6:$A$185,0)))</f>
        <v>A1</v>
      </c>
      <c r="H380" s="31">
        <v>2</v>
      </c>
      <c r="I380" s="31">
        <v>3</v>
      </c>
      <c r="J380" s="32"/>
      <c r="K380" s="31" t="str">
        <f>IF(J380="","",IFERROR(INDEX('Team Rosters'!$C$6:$C$205,MATCH(J380,'Team Rosters'!$B$6:$B$205,0)),"CODE NOT FOUND"))</f>
        <v/>
      </c>
      <c r="L380" s="31" t="str">
        <f t="shared" si="15"/>
        <v/>
      </c>
      <c r="M380" s="31" t="str">
        <f>IF(OR(J380="",C380&lt;&gt;"League",L380&lt;&gt;"VALID"),"",COUNTIFS($J$6:J380,J380,$G$6:G380,G380,$C$6:C380,"League"))</f>
        <v/>
      </c>
      <c r="N380" s="31" t="str">
        <f t="shared" si="16"/>
        <v/>
      </c>
      <c r="O380" s="37" t="str">
        <f t="shared" si="17"/>
        <v/>
      </c>
    </row>
    <row r="381" spans="1:15" ht="15">
      <c r="A381" s="30">
        <v>79</v>
      </c>
      <c r="B381" s="31" t="s">
        <v>498</v>
      </c>
      <c r="C381" s="31" t="s">
        <v>473</v>
      </c>
      <c r="D381" s="31" t="s">
        <v>483</v>
      </c>
      <c r="E381" s="31" t="s">
        <v>472</v>
      </c>
      <c r="F381" s="31" t="str">
        <f>IF(H381=1,INDEX('Match Results'!$G$6:$G$185,MATCH(A381,'Match Results'!$A$6:$A$185,0)),INDEX('Match Results'!$H$6:$H$185,MATCH(A381,'Match Results'!$A$6:$A$185,0)))</f>
        <v>A2</v>
      </c>
      <c r="G381" s="31" t="str">
        <f>IF(H381=1,INDEX('Match Results'!$H$6:$H$185,MATCH(A381,'Match Results'!$A$6:$A$185,0)),INDEX('Match Results'!$G$6:$G$185,MATCH(A381,'Match Results'!$A$6:$A$185,0)))</f>
        <v>A1</v>
      </c>
      <c r="H381" s="31">
        <v>2</v>
      </c>
      <c r="I381" s="31">
        <v>4</v>
      </c>
      <c r="J381" s="32"/>
      <c r="K381" s="31" t="str">
        <f>IF(J381="","",IFERROR(INDEX('Team Rosters'!$C$6:$C$205,MATCH(J381,'Team Rosters'!$B$6:$B$205,0)),"CODE NOT FOUND"))</f>
        <v/>
      </c>
      <c r="L381" s="31" t="str">
        <f t="shared" si="15"/>
        <v/>
      </c>
      <c r="M381" s="31" t="str">
        <f>IF(OR(J381="",C381&lt;&gt;"League",L381&lt;&gt;"VALID"),"",COUNTIFS($J$6:J381,J381,$G$6:G381,G381,$C$6:C381,"League"))</f>
        <v/>
      </c>
      <c r="N381" s="31" t="str">
        <f t="shared" si="16"/>
        <v/>
      </c>
      <c r="O381" s="37" t="str">
        <f t="shared" si="17"/>
        <v/>
      </c>
    </row>
    <row r="382" spans="1:15" ht="15">
      <c r="A382" s="30">
        <v>80</v>
      </c>
      <c r="B382" s="31" t="s">
        <v>498</v>
      </c>
      <c r="C382" s="31" t="s">
        <v>473</v>
      </c>
      <c r="D382" s="31" t="s">
        <v>483</v>
      </c>
      <c r="E382" s="31" t="s">
        <v>477</v>
      </c>
      <c r="F382" s="31" t="str">
        <f>IF(H382=1,INDEX('Match Results'!$G$6:$G$185,MATCH(A382,'Match Results'!$A$6:$A$185,0)),INDEX('Match Results'!$H$6:$H$185,MATCH(A382,'Match Results'!$A$6:$A$185,0)))</f>
        <v>A3</v>
      </c>
      <c r="G382" s="31" t="str">
        <f>IF(H382=1,INDEX('Match Results'!$H$6:$H$185,MATCH(A382,'Match Results'!$A$6:$A$185,0)),INDEX('Match Results'!$G$6:$G$185,MATCH(A382,'Match Results'!$A$6:$A$185,0)))</f>
        <v>A4</v>
      </c>
      <c r="H382" s="31">
        <v>1</v>
      </c>
      <c r="I382" s="31">
        <v>1</v>
      </c>
      <c r="J382" s="32"/>
      <c r="K382" s="31" t="str">
        <f>IF(J382="","",IFERROR(INDEX('Team Rosters'!$C$6:$C$205,MATCH(J382,'Team Rosters'!$B$6:$B$205,0)),"CODE NOT FOUND"))</f>
        <v/>
      </c>
      <c r="L382" s="31" t="str">
        <f t="shared" si="15"/>
        <v/>
      </c>
      <c r="M382" s="31" t="str">
        <f>IF(OR(J382="",C382&lt;&gt;"League",L382&lt;&gt;"VALID"),"",COUNTIFS($J$6:J382,J382,$G$6:G382,G382,$C$6:C382,"League"))</f>
        <v/>
      </c>
      <c r="N382" s="31" t="str">
        <f t="shared" si="16"/>
        <v/>
      </c>
      <c r="O382" s="37" t="str">
        <f t="shared" si="17"/>
        <v/>
      </c>
    </row>
    <row r="383" spans="1:15" ht="15">
      <c r="A383" s="30">
        <v>80</v>
      </c>
      <c r="B383" s="31" t="s">
        <v>498</v>
      </c>
      <c r="C383" s="31" t="s">
        <v>473</v>
      </c>
      <c r="D383" s="31" t="s">
        <v>483</v>
      </c>
      <c r="E383" s="31" t="s">
        <v>477</v>
      </c>
      <c r="F383" s="31" t="str">
        <f>IF(H383=1,INDEX('Match Results'!$G$6:$G$185,MATCH(A383,'Match Results'!$A$6:$A$185,0)),INDEX('Match Results'!$H$6:$H$185,MATCH(A383,'Match Results'!$A$6:$A$185,0)))</f>
        <v>A3</v>
      </c>
      <c r="G383" s="31" t="str">
        <f>IF(H383=1,INDEX('Match Results'!$H$6:$H$185,MATCH(A383,'Match Results'!$A$6:$A$185,0)),INDEX('Match Results'!$G$6:$G$185,MATCH(A383,'Match Results'!$A$6:$A$185,0)))</f>
        <v>A4</v>
      </c>
      <c r="H383" s="31">
        <v>1</v>
      </c>
      <c r="I383" s="31">
        <v>2</v>
      </c>
      <c r="J383" s="32"/>
      <c r="K383" s="31" t="str">
        <f>IF(J383="","",IFERROR(INDEX('Team Rosters'!$C$6:$C$205,MATCH(J383,'Team Rosters'!$B$6:$B$205,0)),"CODE NOT FOUND"))</f>
        <v/>
      </c>
      <c r="L383" s="31" t="str">
        <f t="shared" si="15"/>
        <v/>
      </c>
      <c r="M383" s="31" t="str">
        <f>IF(OR(J383="",C383&lt;&gt;"League",L383&lt;&gt;"VALID"),"",COUNTIFS($J$6:J383,J383,$G$6:G383,G383,$C$6:C383,"League"))</f>
        <v/>
      </c>
      <c r="N383" s="31" t="str">
        <f t="shared" si="16"/>
        <v/>
      </c>
      <c r="O383" s="37" t="str">
        <f t="shared" si="17"/>
        <v/>
      </c>
    </row>
    <row r="384" spans="1:15" ht="15">
      <c r="A384" s="30">
        <v>80</v>
      </c>
      <c r="B384" s="31" t="s">
        <v>498</v>
      </c>
      <c r="C384" s="31" t="s">
        <v>473</v>
      </c>
      <c r="D384" s="31" t="s">
        <v>483</v>
      </c>
      <c r="E384" s="31" t="s">
        <v>477</v>
      </c>
      <c r="F384" s="31" t="str">
        <f>IF(H384=1,INDEX('Match Results'!$G$6:$G$185,MATCH(A384,'Match Results'!$A$6:$A$185,0)),INDEX('Match Results'!$H$6:$H$185,MATCH(A384,'Match Results'!$A$6:$A$185,0)))</f>
        <v>A4</v>
      </c>
      <c r="G384" s="31" t="str">
        <f>IF(H384=1,INDEX('Match Results'!$H$6:$H$185,MATCH(A384,'Match Results'!$A$6:$A$185,0)),INDEX('Match Results'!$G$6:$G$185,MATCH(A384,'Match Results'!$A$6:$A$185,0)))</f>
        <v>A3</v>
      </c>
      <c r="H384" s="31">
        <v>2</v>
      </c>
      <c r="I384" s="31">
        <v>3</v>
      </c>
      <c r="J384" s="32"/>
      <c r="K384" s="31" t="str">
        <f>IF(J384="","",IFERROR(INDEX('Team Rosters'!$C$6:$C$205,MATCH(J384,'Team Rosters'!$B$6:$B$205,0)),"CODE NOT FOUND"))</f>
        <v/>
      </c>
      <c r="L384" s="31" t="str">
        <f t="shared" si="15"/>
        <v/>
      </c>
      <c r="M384" s="31" t="str">
        <f>IF(OR(J384="",C384&lt;&gt;"League",L384&lt;&gt;"VALID"),"",COUNTIFS($J$6:J384,J384,$G$6:G384,G384,$C$6:C384,"League"))</f>
        <v/>
      </c>
      <c r="N384" s="31" t="str">
        <f t="shared" si="16"/>
        <v/>
      </c>
      <c r="O384" s="37" t="str">
        <f t="shared" si="17"/>
        <v/>
      </c>
    </row>
    <row r="385" spans="1:15" ht="15">
      <c r="A385" s="30">
        <v>80</v>
      </c>
      <c r="B385" s="31" t="s">
        <v>498</v>
      </c>
      <c r="C385" s="31" t="s">
        <v>473</v>
      </c>
      <c r="D385" s="31" t="s">
        <v>483</v>
      </c>
      <c r="E385" s="31" t="s">
        <v>477</v>
      </c>
      <c r="F385" s="31" t="str">
        <f>IF(H385=1,INDEX('Match Results'!$G$6:$G$185,MATCH(A385,'Match Results'!$A$6:$A$185,0)),INDEX('Match Results'!$H$6:$H$185,MATCH(A385,'Match Results'!$A$6:$A$185,0)))</f>
        <v>A4</v>
      </c>
      <c r="G385" s="31" t="str">
        <f>IF(H385=1,INDEX('Match Results'!$H$6:$H$185,MATCH(A385,'Match Results'!$A$6:$A$185,0)),INDEX('Match Results'!$G$6:$G$185,MATCH(A385,'Match Results'!$A$6:$A$185,0)))</f>
        <v>A3</v>
      </c>
      <c r="H385" s="31">
        <v>2</v>
      </c>
      <c r="I385" s="31">
        <v>4</v>
      </c>
      <c r="J385" s="32"/>
      <c r="K385" s="31" t="str">
        <f>IF(J385="","",IFERROR(INDEX('Team Rosters'!$C$6:$C$205,MATCH(J385,'Team Rosters'!$B$6:$B$205,0)),"CODE NOT FOUND"))</f>
        <v/>
      </c>
      <c r="L385" s="31" t="str">
        <f t="shared" si="15"/>
        <v/>
      </c>
      <c r="M385" s="31" t="str">
        <f>IF(OR(J385="",C385&lt;&gt;"League",L385&lt;&gt;"VALID"),"",COUNTIFS($J$6:J385,J385,$G$6:G385,G385,$C$6:C385,"League"))</f>
        <v/>
      </c>
      <c r="N385" s="31" t="str">
        <f t="shared" si="16"/>
        <v/>
      </c>
      <c r="O385" s="37" t="str">
        <f t="shared" si="17"/>
        <v/>
      </c>
    </row>
    <row r="386" spans="1:15" ht="15">
      <c r="A386" s="30">
        <v>81</v>
      </c>
      <c r="B386" s="31" t="s">
        <v>498</v>
      </c>
      <c r="C386" s="31" t="s">
        <v>473</v>
      </c>
      <c r="D386" s="31" t="s">
        <v>486</v>
      </c>
      <c r="E386" s="31" t="s">
        <v>477</v>
      </c>
      <c r="F386" s="31" t="str">
        <f>IF(H386=1,INDEX('Match Results'!$G$6:$G$185,MATCH(A386,'Match Results'!$A$6:$A$185,0)),INDEX('Match Results'!$H$6:$H$185,MATCH(A386,'Match Results'!$A$6:$A$185,0)))</f>
        <v>A1</v>
      </c>
      <c r="G386" s="31" t="str">
        <f>IF(H386=1,INDEX('Match Results'!$H$6:$H$185,MATCH(A386,'Match Results'!$A$6:$A$185,0)),INDEX('Match Results'!$G$6:$G$185,MATCH(A386,'Match Results'!$A$6:$A$185,0)))</f>
        <v>A4</v>
      </c>
      <c r="H386" s="31">
        <v>1</v>
      </c>
      <c r="I386" s="31">
        <v>1</v>
      </c>
      <c r="J386" s="32"/>
      <c r="K386" s="31" t="str">
        <f>IF(J386="","",IFERROR(INDEX('Team Rosters'!$C$6:$C$205,MATCH(J386,'Team Rosters'!$B$6:$B$205,0)),"CODE NOT FOUND"))</f>
        <v/>
      </c>
      <c r="L386" s="31" t="str">
        <f>IF(J386="","",IF(AND(K386&lt;&gt;"",K386&lt;&gt;"CODE NOT FOUND",LEFT(J386,2)=F386),"VALID","CHECK ROSTER"))</f>
        <v/>
      </c>
      <c r="M386" s="31" t="str">
        <f>IF(OR(J386="",C386&lt;&gt;"League",L386&lt;&gt;"VALID"),"",COUNTIFS($J$6:J386,J386,$G$6:G386,G386,$C$6:C386,"League"))</f>
        <v/>
      </c>
      <c r="N386" s="31" t="str">
        <f>IF(J386="","",IF(L386&lt;&gt;"VALID","CHECK ROSTER",IF(C386&lt;&gt;"League","NOT APPLICABLE",IF(M386&lt;=2,"OK","VIOLATION"))))</f>
        <v/>
      </c>
      <c r="O386" s="37" t="str">
        <f>IF(N386="VIOLATION",K386&amp;" has played "&amp;M386&amp;" league matches against "&amp;G386&amp;"; limit is 2.","")</f>
        <v/>
      </c>
    </row>
    <row r="387" spans="1:15" ht="15">
      <c r="A387" s="30">
        <v>81</v>
      </c>
      <c r="B387" s="31" t="s">
        <v>498</v>
      </c>
      <c r="C387" s="31" t="s">
        <v>473</v>
      </c>
      <c r="D387" s="31" t="s">
        <v>486</v>
      </c>
      <c r="E387" s="31" t="s">
        <v>477</v>
      </c>
      <c r="F387" s="31" t="str">
        <f>IF(H387=1,INDEX('Match Results'!$G$6:$G$185,MATCH(A387,'Match Results'!$A$6:$A$185,0)),INDEX('Match Results'!$H$6:$H$185,MATCH(A387,'Match Results'!$A$6:$A$185,0)))</f>
        <v>A1</v>
      </c>
      <c r="G387" s="31" t="str">
        <f>IF(H387=1,INDEX('Match Results'!$H$6:$H$185,MATCH(A387,'Match Results'!$A$6:$A$185,0)),INDEX('Match Results'!$G$6:$G$185,MATCH(A387,'Match Results'!$A$6:$A$185,0)))</f>
        <v>A4</v>
      </c>
      <c r="H387" s="31">
        <v>1</v>
      </c>
      <c r="I387" s="31">
        <v>2</v>
      </c>
      <c r="J387" s="32"/>
      <c r="K387" s="31" t="str">
        <f>IF(J387="","",IFERROR(INDEX('Team Rosters'!$C$6:$C$205,MATCH(J387,'Team Rosters'!$B$6:$B$205,0)),"CODE NOT FOUND"))</f>
        <v/>
      </c>
      <c r="L387" s="31" t="str">
        <f t="shared" si="15"/>
        <v/>
      </c>
      <c r="M387" s="31" t="str">
        <f>IF(OR(J387="",C387&lt;&gt;"League",L387&lt;&gt;"VALID"),"",COUNTIFS($J$6:J387,J387,$G$6:G387,G387,$C$6:C387,"League"))</f>
        <v/>
      </c>
      <c r="N387" s="31" t="str">
        <f t="shared" si="16"/>
        <v/>
      </c>
      <c r="O387" s="37" t="str">
        <f t="shared" si="17"/>
        <v/>
      </c>
    </row>
    <row r="388" spans="1:15" ht="15">
      <c r="A388" s="30">
        <v>81</v>
      </c>
      <c r="B388" s="31" t="s">
        <v>498</v>
      </c>
      <c r="C388" s="31" t="s">
        <v>473</v>
      </c>
      <c r="D388" s="31" t="s">
        <v>486</v>
      </c>
      <c r="E388" s="31" t="s">
        <v>477</v>
      </c>
      <c r="F388" s="31" t="str">
        <f>IF(H388=1,INDEX('Match Results'!$G$6:$G$185,MATCH(A388,'Match Results'!$A$6:$A$185,0)),INDEX('Match Results'!$H$6:$H$185,MATCH(A388,'Match Results'!$A$6:$A$185,0)))</f>
        <v>A4</v>
      </c>
      <c r="G388" s="31" t="str">
        <f>IF(H388=1,INDEX('Match Results'!$H$6:$H$185,MATCH(A388,'Match Results'!$A$6:$A$185,0)),INDEX('Match Results'!$G$6:$G$185,MATCH(A388,'Match Results'!$A$6:$A$185,0)))</f>
        <v>A1</v>
      </c>
      <c r="H388" s="31">
        <v>2</v>
      </c>
      <c r="I388" s="31">
        <v>3</v>
      </c>
      <c r="J388" s="32"/>
      <c r="K388" s="31" t="str">
        <f>IF(J388="","",IFERROR(INDEX('Team Rosters'!$C$6:$C$205,MATCH(J388,'Team Rosters'!$B$6:$B$205,0)),"CODE NOT FOUND"))</f>
        <v/>
      </c>
      <c r="L388" s="31" t="str">
        <f t="shared" si="15"/>
        <v/>
      </c>
      <c r="M388" s="31" t="str">
        <f>IF(OR(J388="",C388&lt;&gt;"League",L388&lt;&gt;"VALID"),"",COUNTIFS($J$6:J388,J388,$G$6:G388,G388,$C$6:C388,"League"))</f>
        <v/>
      </c>
      <c r="N388" s="31" t="str">
        <f t="shared" si="16"/>
        <v/>
      </c>
      <c r="O388" s="37" t="str">
        <f t="shared" si="17"/>
        <v/>
      </c>
    </row>
    <row r="389" spans="1:15" ht="15">
      <c r="A389" s="30">
        <v>81</v>
      </c>
      <c r="B389" s="31" t="s">
        <v>498</v>
      </c>
      <c r="C389" s="31" t="s">
        <v>473</v>
      </c>
      <c r="D389" s="31" t="s">
        <v>486</v>
      </c>
      <c r="E389" s="31" t="s">
        <v>477</v>
      </c>
      <c r="F389" s="31" t="str">
        <f>IF(H389=1,INDEX('Match Results'!$G$6:$G$185,MATCH(A389,'Match Results'!$A$6:$A$185,0)),INDEX('Match Results'!$H$6:$H$185,MATCH(A389,'Match Results'!$A$6:$A$185,0)))</f>
        <v>A4</v>
      </c>
      <c r="G389" s="31" t="str">
        <f>IF(H389=1,INDEX('Match Results'!$H$6:$H$185,MATCH(A389,'Match Results'!$A$6:$A$185,0)),INDEX('Match Results'!$G$6:$G$185,MATCH(A389,'Match Results'!$A$6:$A$185,0)))</f>
        <v>A1</v>
      </c>
      <c r="H389" s="31">
        <v>2</v>
      </c>
      <c r="I389" s="31">
        <v>4</v>
      </c>
      <c r="J389" s="32"/>
      <c r="K389" s="31" t="str">
        <f>IF(J389="","",IFERROR(INDEX('Team Rosters'!$C$6:$C$205,MATCH(J389,'Team Rosters'!$B$6:$B$205,0)),"CODE NOT FOUND"))</f>
        <v/>
      </c>
      <c r="L389" s="31" t="str">
        <f t="shared" si="15"/>
        <v/>
      </c>
      <c r="M389" s="31" t="str">
        <f>IF(OR(J389="",C389&lt;&gt;"League",L389&lt;&gt;"VALID"),"",COUNTIFS($J$6:J389,J389,$G$6:G389,G389,$C$6:C389,"League"))</f>
        <v/>
      </c>
      <c r="N389" s="31" t="str">
        <f t="shared" si="16"/>
        <v/>
      </c>
      <c r="O389" s="37" t="str">
        <f t="shared" si="17"/>
        <v/>
      </c>
    </row>
    <row r="390" spans="1:15" ht="15">
      <c r="A390" s="30">
        <v>82</v>
      </c>
      <c r="B390" s="31" t="s">
        <v>498</v>
      </c>
      <c r="C390" s="31" t="s">
        <v>473</v>
      </c>
      <c r="D390" s="31" t="s">
        <v>486</v>
      </c>
      <c r="E390" s="31" t="s">
        <v>472</v>
      </c>
      <c r="F390" s="31" t="str">
        <f>IF(H390=1,INDEX('Match Results'!$G$6:$G$185,MATCH(A390,'Match Results'!$A$6:$A$185,0)),INDEX('Match Results'!$H$6:$H$185,MATCH(A390,'Match Results'!$A$6:$A$185,0)))</f>
        <v>B1</v>
      </c>
      <c r="G390" s="31" t="str">
        <f>IF(H390=1,INDEX('Match Results'!$H$6:$H$185,MATCH(A390,'Match Results'!$A$6:$A$185,0)),INDEX('Match Results'!$G$6:$G$185,MATCH(A390,'Match Results'!$A$6:$A$185,0)))</f>
        <v>B4</v>
      </c>
      <c r="H390" s="31">
        <v>1</v>
      </c>
      <c r="I390" s="31">
        <v>1</v>
      </c>
      <c r="J390" s="32"/>
      <c r="K390" s="31" t="str">
        <f>IF(J390="","",IFERROR(INDEX('Team Rosters'!$C$6:$C$205,MATCH(J390,'Team Rosters'!$B$6:$B$205,0)),"CODE NOT FOUND"))</f>
        <v/>
      </c>
      <c r="L390" s="31" t="str">
        <f t="shared" ref="L390:L453" si="18">IF(J390="","",IF(AND(K390&lt;&gt;"",K390&lt;&gt;"CODE NOT FOUND",LEFT(J390,2)=F390),"VALID","CHECK ROSTER"))</f>
        <v/>
      </c>
      <c r="M390" s="31" t="str">
        <f>IF(OR(J390="",C390&lt;&gt;"League",L390&lt;&gt;"VALID"),"",COUNTIFS($J$6:J390,J390,$G$6:G390,G390,$C$6:C390,"League"))</f>
        <v/>
      </c>
      <c r="N390" s="31" t="str">
        <f t="shared" ref="N390:N453" si="19">IF(J390="","",IF(L390&lt;&gt;"VALID","CHECK ROSTER",IF(C390&lt;&gt;"League","NOT APPLICABLE",IF(M390&lt;=2,"OK","VIOLATION"))))</f>
        <v/>
      </c>
      <c r="O390" s="37" t="str">
        <f t="shared" ref="O390:O453" si="20">IF(N390="VIOLATION",K390&amp;" has played "&amp;M390&amp;" league matches against "&amp;G390&amp;"; limit is 2.","")</f>
        <v/>
      </c>
    </row>
    <row r="391" spans="1:15" ht="15">
      <c r="A391" s="30">
        <v>82</v>
      </c>
      <c r="B391" s="31" t="s">
        <v>498</v>
      </c>
      <c r="C391" s="31" t="s">
        <v>473</v>
      </c>
      <c r="D391" s="31" t="s">
        <v>486</v>
      </c>
      <c r="E391" s="31" t="s">
        <v>472</v>
      </c>
      <c r="F391" s="31" t="str">
        <f>IF(H391=1,INDEX('Match Results'!$G$6:$G$185,MATCH(A391,'Match Results'!$A$6:$A$185,0)),INDEX('Match Results'!$H$6:$H$185,MATCH(A391,'Match Results'!$A$6:$A$185,0)))</f>
        <v>B1</v>
      </c>
      <c r="G391" s="31" t="str">
        <f>IF(H391=1,INDEX('Match Results'!$H$6:$H$185,MATCH(A391,'Match Results'!$A$6:$A$185,0)),INDEX('Match Results'!$G$6:$G$185,MATCH(A391,'Match Results'!$A$6:$A$185,0)))</f>
        <v>B4</v>
      </c>
      <c r="H391" s="31">
        <v>1</v>
      </c>
      <c r="I391" s="31">
        <v>2</v>
      </c>
      <c r="J391" s="32"/>
      <c r="K391" s="31" t="str">
        <f>IF(J391="","",IFERROR(INDEX('Team Rosters'!$C$6:$C$205,MATCH(J391,'Team Rosters'!$B$6:$B$205,0)),"CODE NOT FOUND"))</f>
        <v/>
      </c>
      <c r="L391" s="31" t="str">
        <f t="shared" si="18"/>
        <v/>
      </c>
      <c r="M391" s="31" t="str">
        <f>IF(OR(J391="",C391&lt;&gt;"League",L391&lt;&gt;"VALID"),"",COUNTIFS($J$6:J391,J391,$G$6:G391,G391,$C$6:C391,"League"))</f>
        <v/>
      </c>
      <c r="N391" s="31" t="str">
        <f t="shared" si="19"/>
        <v/>
      </c>
      <c r="O391" s="37" t="str">
        <f t="shared" si="20"/>
        <v/>
      </c>
    </row>
    <row r="392" spans="1:15" ht="15">
      <c r="A392" s="30">
        <v>82</v>
      </c>
      <c r="B392" s="31" t="s">
        <v>498</v>
      </c>
      <c r="C392" s="31" t="s">
        <v>473</v>
      </c>
      <c r="D392" s="31" t="s">
        <v>486</v>
      </c>
      <c r="E392" s="31" t="s">
        <v>472</v>
      </c>
      <c r="F392" s="31" t="str">
        <f>IF(H392=1,INDEX('Match Results'!$G$6:$G$185,MATCH(A392,'Match Results'!$A$6:$A$185,0)),INDEX('Match Results'!$H$6:$H$185,MATCH(A392,'Match Results'!$A$6:$A$185,0)))</f>
        <v>B4</v>
      </c>
      <c r="G392" s="31" t="str">
        <f>IF(H392=1,INDEX('Match Results'!$H$6:$H$185,MATCH(A392,'Match Results'!$A$6:$A$185,0)),INDEX('Match Results'!$G$6:$G$185,MATCH(A392,'Match Results'!$A$6:$A$185,0)))</f>
        <v>B1</v>
      </c>
      <c r="H392" s="31">
        <v>2</v>
      </c>
      <c r="I392" s="31">
        <v>3</v>
      </c>
      <c r="J392" s="32"/>
      <c r="K392" s="31" t="str">
        <f>IF(J392="","",IFERROR(INDEX('Team Rosters'!$C$6:$C$205,MATCH(J392,'Team Rosters'!$B$6:$B$205,0)),"CODE NOT FOUND"))</f>
        <v/>
      </c>
      <c r="L392" s="31" t="str">
        <f t="shared" si="18"/>
        <v/>
      </c>
      <c r="M392" s="31" t="str">
        <f>IF(OR(J392="",C392&lt;&gt;"League",L392&lt;&gt;"VALID"),"",COUNTIFS($J$6:J392,J392,$G$6:G392,G392,$C$6:C392,"League"))</f>
        <v/>
      </c>
      <c r="N392" s="31" t="str">
        <f t="shared" si="19"/>
        <v/>
      </c>
      <c r="O392" s="37" t="str">
        <f t="shared" si="20"/>
        <v/>
      </c>
    </row>
    <row r="393" spans="1:15" ht="15">
      <c r="A393" s="30">
        <v>82</v>
      </c>
      <c r="B393" s="31" t="s">
        <v>498</v>
      </c>
      <c r="C393" s="31" t="s">
        <v>473</v>
      </c>
      <c r="D393" s="31" t="s">
        <v>486</v>
      </c>
      <c r="E393" s="31" t="s">
        <v>472</v>
      </c>
      <c r="F393" s="31" t="str">
        <f>IF(H393=1,INDEX('Match Results'!$G$6:$G$185,MATCH(A393,'Match Results'!$A$6:$A$185,0)),INDEX('Match Results'!$H$6:$H$185,MATCH(A393,'Match Results'!$A$6:$A$185,0)))</f>
        <v>B4</v>
      </c>
      <c r="G393" s="31" t="str">
        <f>IF(H393=1,INDEX('Match Results'!$H$6:$H$185,MATCH(A393,'Match Results'!$A$6:$A$185,0)),INDEX('Match Results'!$G$6:$G$185,MATCH(A393,'Match Results'!$A$6:$A$185,0)))</f>
        <v>B1</v>
      </c>
      <c r="H393" s="31">
        <v>2</v>
      </c>
      <c r="I393" s="31">
        <v>4</v>
      </c>
      <c r="J393" s="32"/>
      <c r="K393" s="31" t="str">
        <f>IF(J393="","",IFERROR(INDEX('Team Rosters'!$C$6:$C$205,MATCH(J393,'Team Rosters'!$B$6:$B$205,0)),"CODE NOT FOUND"))</f>
        <v/>
      </c>
      <c r="L393" s="31" t="str">
        <f t="shared" si="18"/>
        <v/>
      </c>
      <c r="M393" s="31" t="str">
        <f>IF(OR(J393="",C393&lt;&gt;"League",L393&lt;&gt;"VALID"),"",COUNTIFS($J$6:J393,J393,$G$6:G393,G393,$C$6:C393,"League"))</f>
        <v/>
      </c>
      <c r="N393" s="31" t="str">
        <f t="shared" si="19"/>
        <v/>
      </c>
      <c r="O393" s="37" t="str">
        <f t="shared" si="20"/>
        <v/>
      </c>
    </row>
    <row r="394" spans="1:15" ht="15">
      <c r="A394" s="30">
        <v>83</v>
      </c>
      <c r="B394" s="31" t="s">
        <v>498</v>
      </c>
      <c r="C394" s="31" t="s">
        <v>473</v>
      </c>
      <c r="D394" s="31" t="s">
        <v>486</v>
      </c>
      <c r="E394" s="31" t="s">
        <v>475</v>
      </c>
      <c r="F394" s="31" t="str">
        <f>IF(H394=1,INDEX('Match Results'!$G$6:$G$185,MATCH(A394,'Match Results'!$A$6:$A$185,0)),INDEX('Match Results'!$H$6:$H$185,MATCH(A394,'Match Results'!$A$6:$A$185,0)))</f>
        <v>B2</v>
      </c>
      <c r="G394" s="31" t="str">
        <f>IF(H394=1,INDEX('Match Results'!$H$6:$H$185,MATCH(A394,'Match Results'!$A$6:$A$185,0)),INDEX('Match Results'!$G$6:$G$185,MATCH(A394,'Match Results'!$A$6:$A$185,0)))</f>
        <v>B3</v>
      </c>
      <c r="H394" s="31">
        <v>1</v>
      </c>
      <c r="I394" s="31">
        <v>1</v>
      </c>
      <c r="J394" s="32"/>
      <c r="K394" s="31" t="str">
        <f>IF(J394="","",IFERROR(INDEX('Team Rosters'!$C$6:$C$205,MATCH(J394,'Team Rosters'!$B$6:$B$205,0)),"CODE NOT FOUND"))</f>
        <v/>
      </c>
      <c r="L394" s="31" t="str">
        <f t="shared" si="18"/>
        <v/>
      </c>
      <c r="M394" s="31" t="str">
        <f>IF(OR(J394="",C394&lt;&gt;"League",L394&lt;&gt;"VALID"),"",COUNTIFS($J$6:J394,J394,$G$6:G394,G394,$C$6:C394,"League"))</f>
        <v/>
      </c>
      <c r="N394" s="31" t="str">
        <f t="shared" si="19"/>
        <v/>
      </c>
      <c r="O394" s="37" t="str">
        <f t="shared" si="20"/>
        <v/>
      </c>
    </row>
    <row r="395" spans="1:15" ht="15">
      <c r="A395" s="30">
        <v>83</v>
      </c>
      <c r="B395" s="31" t="s">
        <v>498</v>
      </c>
      <c r="C395" s="31" t="s">
        <v>473</v>
      </c>
      <c r="D395" s="31" t="s">
        <v>486</v>
      </c>
      <c r="E395" s="31" t="s">
        <v>475</v>
      </c>
      <c r="F395" s="31" t="str">
        <f>IF(H395=1,INDEX('Match Results'!$G$6:$G$185,MATCH(A395,'Match Results'!$A$6:$A$185,0)),INDEX('Match Results'!$H$6:$H$185,MATCH(A395,'Match Results'!$A$6:$A$185,0)))</f>
        <v>B2</v>
      </c>
      <c r="G395" s="31" t="str">
        <f>IF(H395=1,INDEX('Match Results'!$H$6:$H$185,MATCH(A395,'Match Results'!$A$6:$A$185,0)),INDEX('Match Results'!$G$6:$G$185,MATCH(A395,'Match Results'!$A$6:$A$185,0)))</f>
        <v>B3</v>
      </c>
      <c r="H395" s="31">
        <v>1</v>
      </c>
      <c r="I395" s="31">
        <v>2</v>
      </c>
      <c r="J395" s="32"/>
      <c r="K395" s="31" t="str">
        <f>IF(J395="","",IFERROR(INDEX('Team Rosters'!$C$6:$C$205,MATCH(J395,'Team Rosters'!$B$6:$B$205,0)),"CODE NOT FOUND"))</f>
        <v/>
      </c>
      <c r="L395" s="31" t="str">
        <f t="shared" si="18"/>
        <v/>
      </c>
      <c r="M395" s="31" t="str">
        <f>IF(OR(J395="",C395&lt;&gt;"League",L395&lt;&gt;"VALID"),"",COUNTIFS($J$6:J395,J395,$G$6:G395,G395,$C$6:C395,"League"))</f>
        <v/>
      </c>
      <c r="N395" s="31" t="str">
        <f t="shared" si="19"/>
        <v/>
      </c>
      <c r="O395" s="37" t="str">
        <f t="shared" si="20"/>
        <v/>
      </c>
    </row>
    <row r="396" spans="1:15" ht="15">
      <c r="A396" s="30">
        <v>83</v>
      </c>
      <c r="B396" s="31" t="s">
        <v>498</v>
      </c>
      <c r="C396" s="31" t="s">
        <v>473</v>
      </c>
      <c r="D396" s="31" t="s">
        <v>486</v>
      </c>
      <c r="E396" s="31" t="s">
        <v>475</v>
      </c>
      <c r="F396" s="31" t="str">
        <f>IF(H396=1,INDEX('Match Results'!$G$6:$G$185,MATCH(A396,'Match Results'!$A$6:$A$185,0)),INDEX('Match Results'!$H$6:$H$185,MATCH(A396,'Match Results'!$A$6:$A$185,0)))</f>
        <v>B3</v>
      </c>
      <c r="G396" s="31" t="str">
        <f>IF(H396=1,INDEX('Match Results'!$H$6:$H$185,MATCH(A396,'Match Results'!$A$6:$A$185,0)),INDEX('Match Results'!$G$6:$G$185,MATCH(A396,'Match Results'!$A$6:$A$185,0)))</f>
        <v>B2</v>
      </c>
      <c r="H396" s="31">
        <v>2</v>
      </c>
      <c r="I396" s="31">
        <v>3</v>
      </c>
      <c r="J396" s="32"/>
      <c r="K396" s="31" t="str">
        <f>IF(J396="","",IFERROR(INDEX('Team Rosters'!$C$6:$C$205,MATCH(J396,'Team Rosters'!$B$6:$B$205,0)),"CODE NOT FOUND"))</f>
        <v/>
      </c>
      <c r="L396" s="31" t="str">
        <f t="shared" si="18"/>
        <v/>
      </c>
      <c r="M396" s="31" t="str">
        <f>IF(OR(J396="",C396&lt;&gt;"League",L396&lt;&gt;"VALID"),"",COUNTIFS($J$6:J396,J396,$G$6:G396,G396,$C$6:C396,"League"))</f>
        <v/>
      </c>
      <c r="N396" s="31" t="str">
        <f t="shared" si="19"/>
        <v/>
      </c>
      <c r="O396" s="37" t="str">
        <f t="shared" si="20"/>
        <v/>
      </c>
    </row>
    <row r="397" spans="1:15" ht="15">
      <c r="A397" s="30">
        <v>83</v>
      </c>
      <c r="B397" s="31" t="s">
        <v>498</v>
      </c>
      <c r="C397" s="31" t="s">
        <v>473</v>
      </c>
      <c r="D397" s="31" t="s">
        <v>486</v>
      </c>
      <c r="E397" s="31" t="s">
        <v>475</v>
      </c>
      <c r="F397" s="31" t="str">
        <f>IF(H397=1,INDEX('Match Results'!$G$6:$G$185,MATCH(A397,'Match Results'!$A$6:$A$185,0)),INDEX('Match Results'!$H$6:$H$185,MATCH(A397,'Match Results'!$A$6:$A$185,0)))</f>
        <v>B3</v>
      </c>
      <c r="G397" s="31" t="str">
        <f>IF(H397=1,INDEX('Match Results'!$H$6:$H$185,MATCH(A397,'Match Results'!$A$6:$A$185,0)),INDEX('Match Results'!$G$6:$G$185,MATCH(A397,'Match Results'!$A$6:$A$185,0)))</f>
        <v>B2</v>
      </c>
      <c r="H397" s="31">
        <v>2</v>
      </c>
      <c r="I397" s="31">
        <v>4</v>
      </c>
      <c r="J397" s="32"/>
      <c r="K397" s="31" t="str">
        <f>IF(J397="","",IFERROR(INDEX('Team Rosters'!$C$6:$C$205,MATCH(J397,'Team Rosters'!$B$6:$B$205,0)),"CODE NOT FOUND"))</f>
        <v/>
      </c>
      <c r="L397" s="31" t="str">
        <f t="shared" si="18"/>
        <v/>
      </c>
      <c r="M397" s="31" t="str">
        <f>IF(OR(J397="",C397&lt;&gt;"League",L397&lt;&gt;"VALID"),"",COUNTIFS($J$6:J397,J397,$G$6:G397,G397,$C$6:C397,"League"))</f>
        <v/>
      </c>
      <c r="N397" s="31" t="str">
        <f t="shared" si="19"/>
        <v/>
      </c>
      <c r="O397" s="37" t="str">
        <f t="shared" si="20"/>
        <v/>
      </c>
    </row>
    <row r="398" spans="1:15" ht="15">
      <c r="A398" s="30">
        <v>84</v>
      </c>
      <c r="B398" s="31" t="s">
        <v>498</v>
      </c>
      <c r="C398" s="31" t="s">
        <v>473</v>
      </c>
      <c r="D398" s="31" t="s">
        <v>490</v>
      </c>
      <c r="E398" s="31" t="s">
        <v>491</v>
      </c>
      <c r="F398" s="31" t="str">
        <f>IF(H398=1,INDEX('Match Results'!$G$6:$G$185,MATCH(A398,'Match Results'!$A$6:$A$185,0)),INDEX('Match Results'!$H$6:$H$185,MATCH(A398,'Match Results'!$A$6:$A$185,0)))</f>
        <v>A2</v>
      </c>
      <c r="G398" s="31" t="str">
        <f>IF(H398=1,INDEX('Match Results'!$H$6:$H$185,MATCH(A398,'Match Results'!$A$6:$A$185,0)),INDEX('Match Results'!$G$6:$G$185,MATCH(A398,'Match Results'!$A$6:$A$185,0)))</f>
        <v>A3</v>
      </c>
      <c r="H398" s="31">
        <v>1</v>
      </c>
      <c r="I398" s="31">
        <v>1</v>
      </c>
      <c r="J398" s="32"/>
      <c r="K398" s="31" t="str">
        <f>IF(J398="","",IFERROR(INDEX('Team Rosters'!$C$6:$C$205,MATCH(J398,'Team Rosters'!$B$6:$B$205,0)),"CODE NOT FOUND"))</f>
        <v/>
      </c>
      <c r="L398" s="31" t="str">
        <f t="shared" si="18"/>
        <v/>
      </c>
      <c r="M398" s="31" t="str">
        <f>IF(OR(J398="",C398&lt;&gt;"League",L398&lt;&gt;"VALID"),"",COUNTIFS($J$6:J398,J398,$G$6:G398,G398,$C$6:C398,"League"))</f>
        <v/>
      </c>
      <c r="N398" s="31" t="str">
        <f t="shared" si="19"/>
        <v/>
      </c>
      <c r="O398" s="37" t="str">
        <f t="shared" si="20"/>
        <v/>
      </c>
    </row>
    <row r="399" spans="1:15" ht="15">
      <c r="A399" s="30">
        <v>84</v>
      </c>
      <c r="B399" s="31" t="s">
        <v>498</v>
      </c>
      <c r="C399" s="31" t="s">
        <v>473</v>
      </c>
      <c r="D399" s="31" t="s">
        <v>490</v>
      </c>
      <c r="E399" s="31" t="s">
        <v>491</v>
      </c>
      <c r="F399" s="31" t="str">
        <f>IF(H399=1,INDEX('Match Results'!$G$6:$G$185,MATCH(A399,'Match Results'!$A$6:$A$185,0)),INDEX('Match Results'!$H$6:$H$185,MATCH(A399,'Match Results'!$A$6:$A$185,0)))</f>
        <v>A2</v>
      </c>
      <c r="G399" s="31" t="str">
        <f>IF(H399=1,INDEX('Match Results'!$H$6:$H$185,MATCH(A399,'Match Results'!$A$6:$A$185,0)),INDEX('Match Results'!$G$6:$G$185,MATCH(A399,'Match Results'!$A$6:$A$185,0)))</f>
        <v>A3</v>
      </c>
      <c r="H399" s="31">
        <v>1</v>
      </c>
      <c r="I399" s="31">
        <v>2</v>
      </c>
      <c r="J399" s="32"/>
      <c r="K399" s="31" t="str">
        <f>IF(J399="","",IFERROR(INDEX('Team Rosters'!$C$6:$C$205,MATCH(J399,'Team Rosters'!$B$6:$B$205,0)),"CODE NOT FOUND"))</f>
        <v/>
      </c>
      <c r="L399" s="31" t="str">
        <f t="shared" si="18"/>
        <v/>
      </c>
      <c r="M399" s="31" t="str">
        <f>IF(OR(J399="",C399&lt;&gt;"League",L399&lt;&gt;"VALID"),"",COUNTIFS($J$6:J399,J399,$G$6:G399,G399,$C$6:C399,"League"))</f>
        <v/>
      </c>
      <c r="N399" s="31" t="str">
        <f t="shared" si="19"/>
        <v/>
      </c>
      <c r="O399" s="37" t="str">
        <f t="shared" si="20"/>
        <v/>
      </c>
    </row>
    <row r="400" spans="1:15" ht="15">
      <c r="A400" s="30">
        <v>84</v>
      </c>
      <c r="B400" s="31" t="s">
        <v>498</v>
      </c>
      <c r="C400" s="31" t="s">
        <v>473</v>
      </c>
      <c r="D400" s="31" t="s">
        <v>490</v>
      </c>
      <c r="E400" s="31" t="s">
        <v>491</v>
      </c>
      <c r="F400" s="31" t="str">
        <f>IF(H400=1,INDEX('Match Results'!$G$6:$G$185,MATCH(A400,'Match Results'!$A$6:$A$185,0)),INDEX('Match Results'!$H$6:$H$185,MATCH(A400,'Match Results'!$A$6:$A$185,0)))</f>
        <v>A2</v>
      </c>
      <c r="G400" s="31" t="str">
        <f>IF(H400=1,INDEX('Match Results'!$H$6:$H$185,MATCH(A400,'Match Results'!$A$6:$A$185,0)),INDEX('Match Results'!$G$6:$G$185,MATCH(A400,'Match Results'!$A$6:$A$185,0)))</f>
        <v>A3</v>
      </c>
      <c r="H400" s="31">
        <v>1</v>
      </c>
      <c r="I400" s="31">
        <v>3</v>
      </c>
      <c r="J400" s="32"/>
      <c r="K400" s="31" t="str">
        <f>IF(J400="","",IFERROR(INDEX('Team Rosters'!$C$6:$C$205,MATCH(J400,'Team Rosters'!$B$6:$B$205,0)),"CODE NOT FOUND"))</f>
        <v/>
      </c>
      <c r="L400" s="31" t="str">
        <f t="shared" si="18"/>
        <v/>
      </c>
      <c r="M400" s="31" t="str">
        <f>IF(OR(J400="",C400&lt;&gt;"League",L400&lt;&gt;"VALID"),"",COUNTIFS($J$6:J400,J400,$G$6:G400,G400,$C$6:C400,"League"))</f>
        <v/>
      </c>
      <c r="N400" s="31" t="str">
        <f t="shared" si="19"/>
        <v/>
      </c>
      <c r="O400" s="37" t="str">
        <f t="shared" si="20"/>
        <v/>
      </c>
    </row>
    <row r="401" spans="1:15" ht="15">
      <c r="A401" s="30">
        <v>84</v>
      </c>
      <c r="B401" s="31" t="s">
        <v>498</v>
      </c>
      <c r="C401" s="31" t="s">
        <v>473</v>
      </c>
      <c r="D401" s="31" t="s">
        <v>490</v>
      </c>
      <c r="E401" s="31" t="s">
        <v>491</v>
      </c>
      <c r="F401" s="31" t="str">
        <f>IF(H401=1,INDEX('Match Results'!$G$6:$G$185,MATCH(A401,'Match Results'!$A$6:$A$185,0)),INDEX('Match Results'!$H$6:$H$185,MATCH(A401,'Match Results'!$A$6:$A$185,0)))</f>
        <v>A2</v>
      </c>
      <c r="G401" s="31" t="str">
        <f>IF(H401=1,INDEX('Match Results'!$H$6:$H$185,MATCH(A401,'Match Results'!$A$6:$A$185,0)),INDEX('Match Results'!$G$6:$G$185,MATCH(A401,'Match Results'!$A$6:$A$185,0)))</f>
        <v>A3</v>
      </c>
      <c r="H401" s="31">
        <v>1</v>
      </c>
      <c r="I401" s="31">
        <v>4</v>
      </c>
      <c r="J401" s="32"/>
      <c r="K401" s="31" t="str">
        <f>IF(J401="","",IFERROR(INDEX('Team Rosters'!$C$6:$C$205,MATCH(J401,'Team Rosters'!$B$6:$B$205,0)),"CODE NOT FOUND"))</f>
        <v/>
      </c>
      <c r="L401" s="31" t="str">
        <f t="shared" si="18"/>
        <v/>
      </c>
      <c r="M401" s="31" t="str">
        <f>IF(OR(J401="",C401&lt;&gt;"League",L401&lt;&gt;"VALID"),"",COUNTIFS($J$6:J401,J401,$G$6:G401,G401,$C$6:C401,"League"))</f>
        <v/>
      </c>
      <c r="N401" s="31" t="str">
        <f t="shared" si="19"/>
        <v/>
      </c>
      <c r="O401" s="37" t="str">
        <f t="shared" si="20"/>
        <v/>
      </c>
    </row>
    <row r="402" spans="1:15" ht="15">
      <c r="A402" s="30">
        <v>84</v>
      </c>
      <c r="B402" s="31" t="s">
        <v>498</v>
      </c>
      <c r="C402" s="31" t="s">
        <v>473</v>
      </c>
      <c r="D402" s="31" t="s">
        <v>490</v>
      </c>
      <c r="E402" s="31" t="s">
        <v>491</v>
      </c>
      <c r="F402" s="31" t="str">
        <f>IF(H402=1,INDEX('Match Results'!$G$6:$G$185,MATCH(A402,'Match Results'!$A$6:$A$185,0)),INDEX('Match Results'!$H$6:$H$185,MATCH(A402,'Match Results'!$A$6:$A$185,0)))</f>
        <v>A2</v>
      </c>
      <c r="G402" s="31" t="str">
        <f>IF(H402=1,INDEX('Match Results'!$H$6:$H$185,MATCH(A402,'Match Results'!$A$6:$A$185,0)),INDEX('Match Results'!$G$6:$G$185,MATCH(A402,'Match Results'!$A$6:$A$185,0)))</f>
        <v>A3</v>
      </c>
      <c r="H402" s="31">
        <v>1</v>
      </c>
      <c r="I402" s="31">
        <v>5</v>
      </c>
      <c r="J402" s="32"/>
      <c r="K402" s="31" t="str">
        <f>IF(J402="","",IFERROR(INDEX('Team Rosters'!$C$6:$C$205,MATCH(J402,'Team Rosters'!$B$6:$B$205,0)),"CODE NOT FOUND"))</f>
        <v/>
      </c>
      <c r="L402" s="31" t="str">
        <f t="shared" si="18"/>
        <v/>
      </c>
      <c r="M402" s="31" t="str">
        <f>IF(OR(J402="",C402&lt;&gt;"League",L402&lt;&gt;"VALID"),"",COUNTIFS($J$6:J402,J402,$G$6:G402,G402,$C$6:C402,"League"))</f>
        <v/>
      </c>
      <c r="N402" s="31" t="str">
        <f t="shared" si="19"/>
        <v/>
      </c>
      <c r="O402" s="37" t="str">
        <f t="shared" si="20"/>
        <v/>
      </c>
    </row>
    <row r="403" spans="1:15" ht="15">
      <c r="A403" s="30">
        <v>84</v>
      </c>
      <c r="B403" s="31" t="s">
        <v>498</v>
      </c>
      <c r="C403" s="31" t="s">
        <v>473</v>
      </c>
      <c r="D403" s="31" t="s">
        <v>490</v>
      </c>
      <c r="E403" s="31" t="s">
        <v>491</v>
      </c>
      <c r="F403" s="31" t="str">
        <f>IF(H403=1,INDEX('Match Results'!$G$6:$G$185,MATCH(A403,'Match Results'!$A$6:$A$185,0)),INDEX('Match Results'!$H$6:$H$185,MATCH(A403,'Match Results'!$A$6:$A$185,0)))</f>
        <v>A2</v>
      </c>
      <c r="G403" s="31" t="str">
        <f>IF(H403=1,INDEX('Match Results'!$H$6:$H$185,MATCH(A403,'Match Results'!$A$6:$A$185,0)),INDEX('Match Results'!$G$6:$G$185,MATCH(A403,'Match Results'!$A$6:$A$185,0)))</f>
        <v>A3</v>
      </c>
      <c r="H403" s="31">
        <v>1</v>
      </c>
      <c r="I403" s="31">
        <v>6</v>
      </c>
      <c r="J403" s="32"/>
      <c r="K403" s="31" t="str">
        <f>IF(J403="","",IFERROR(INDEX('Team Rosters'!$C$6:$C$205,MATCH(J403,'Team Rosters'!$B$6:$B$205,0)),"CODE NOT FOUND"))</f>
        <v/>
      </c>
      <c r="L403" s="31" t="str">
        <f t="shared" si="18"/>
        <v/>
      </c>
      <c r="M403" s="31" t="str">
        <f>IF(OR(J403="",C403&lt;&gt;"League",L403&lt;&gt;"VALID"),"",COUNTIFS($J$6:J403,J403,$G$6:G403,G403,$C$6:C403,"League"))</f>
        <v/>
      </c>
      <c r="N403" s="31" t="str">
        <f t="shared" si="19"/>
        <v/>
      </c>
      <c r="O403" s="37" t="str">
        <f t="shared" si="20"/>
        <v/>
      </c>
    </row>
    <row r="404" spans="1:15" ht="15">
      <c r="A404" s="30">
        <v>84</v>
      </c>
      <c r="B404" s="31" t="s">
        <v>498</v>
      </c>
      <c r="C404" s="31" t="s">
        <v>473</v>
      </c>
      <c r="D404" s="31" t="s">
        <v>490</v>
      </c>
      <c r="E404" s="31" t="s">
        <v>491</v>
      </c>
      <c r="F404" s="31" t="str">
        <f>IF(H404=1,INDEX('Match Results'!$G$6:$G$185,MATCH(A404,'Match Results'!$A$6:$A$185,0)),INDEX('Match Results'!$H$6:$H$185,MATCH(A404,'Match Results'!$A$6:$A$185,0)))</f>
        <v>A2</v>
      </c>
      <c r="G404" s="31" t="str">
        <f>IF(H404=1,INDEX('Match Results'!$H$6:$H$185,MATCH(A404,'Match Results'!$A$6:$A$185,0)),INDEX('Match Results'!$G$6:$G$185,MATCH(A404,'Match Results'!$A$6:$A$185,0)))</f>
        <v>A3</v>
      </c>
      <c r="H404" s="31">
        <v>1</v>
      </c>
      <c r="I404" s="31">
        <v>7</v>
      </c>
      <c r="J404" s="32"/>
      <c r="K404" s="31" t="str">
        <f>IF(J404="","",IFERROR(INDEX('Team Rosters'!$C$6:$C$205,MATCH(J404,'Team Rosters'!$B$6:$B$205,0)),"CODE NOT FOUND"))</f>
        <v/>
      </c>
      <c r="L404" s="31" t="str">
        <f t="shared" si="18"/>
        <v/>
      </c>
      <c r="M404" s="31" t="str">
        <f>IF(OR(J404="",C404&lt;&gt;"League",L404&lt;&gt;"VALID"),"",COUNTIFS($J$6:J404,J404,$G$6:G404,G404,$C$6:C404,"League"))</f>
        <v/>
      </c>
      <c r="N404" s="31" t="str">
        <f t="shared" si="19"/>
        <v/>
      </c>
      <c r="O404" s="37" t="str">
        <f t="shared" si="20"/>
        <v/>
      </c>
    </row>
    <row r="405" spans="1:15" ht="15">
      <c r="A405" s="30">
        <v>84</v>
      </c>
      <c r="B405" s="31" t="s">
        <v>498</v>
      </c>
      <c r="C405" s="31" t="s">
        <v>473</v>
      </c>
      <c r="D405" s="31" t="s">
        <v>490</v>
      </c>
      <c r="E405" s="31" t="s">
        <v>491</v>
      </c>
      <c r="F405" s="31" t="str">
        <f>IF(H405=1,INDEX('Match Results'!$G$6:$G$185,MATCH(A405,'Match Results'!$A$6:$A$185,0)),INDEX('Match Results'!$H$6:$H$185,MATCH(A405,'Match Results'!$A$6:$A$185,0)))</f>
        <v>A3</v>
      </c>
      <c r="G405" s="31" t="str">
        <f>IF(H405=1,INDEX('Match Results'!$H$6:$H$185,MATCH(A405,'Match Results'!$A$6:$A$185,0)),INDEX('Match Results'!$G$6:$G$185,MATCH(A405,'Match Results'!$A$6:$A$185,0)))</f>
        <v>A2</v>
      </c>
      <c r="H405" s="31">
        <v>2</v>
      </c>
      <c r="I405" s="31">
        <v>8</v>
      </c>
      <c r="J405" s="32"/>
      <c r="K405" s="31" t="str">
        <f>IF(J405="","",IFERROR(INDEX('Team Rosters'!$C$6:$C$205,MATCH(J405,'Team Rosters'!$B$6:$B$205,0)),"CODE NOT FOUND"))</f>
        <v/>
      </c>
      <c r="L405" s="31" t="str">
        <f t="shared" si="18"/>
        <v/>
      </c>
      <c r="M405" s="31" t="str">
        <f>IF(OR(J405="",C405&lt;&gt;"League",L405&lt;&gt;"VALID"),"",COUNTIFS($J$6:J405,J405,$G$6:G405,G405,$C$6:C405,"League"))</f>
        <v/>
      </c>
      <c r="N405" s="31" t="str">
        <f t="shared" si="19"/>
        <v/>
      </c>
      <c r="O405" s="37" t="str">
        <f t="shared" si="20"/>
        <v/>
      </c>
    </row>
    <row r="406" spans="1:15" ht="15">
      <c r="A406" s="30">
        <v>84</v>
      </c>
      <c r="B406" s="31" t="s">
        <v>498</v>
      </c>
      <c r="C406" s="31" t="s">
        <v>473</v>
      </c>
      <c r="D406" s="31" t="s">
        <v>490</v>
      </c>
      <c r="E406" s="31" t="s">
        <v>491</v>
      </c>
      <c r="F406" s="31" t="str">
        <f>IF(H406=1,INDEX('Match Results'!$G$6:$G$185,MATCH(A406,'Match Results'!$A$6:$A$185,0)),INDEX('Match Results'!$H$6:$H$185,MATCH(A406,'Match Results'!$A$6:$A$185,0)))</f>
        <v>A3</v>
      </c>
      <c r="G406" s="31" t="str">
        <f>IF(H406=1,INDEX('Match Results'!$H$6:$H$185,MATCH(A406,'Match Results'!$A$6:$A$185,0)),INDEX('Match Results'!$G$6:$G$185,MATCH(A406,'Match Results'!$A$6:$A$185,0)))</f>
        <v>A2</v>
      </c>
      <c r="H406" s="31">
        <v>2</v>
      </c>
      <c r="I406" s="31">
        <v>9</v>
      </c>
      <c r="J406" s="32"/>
      <c r="K406" s="31" t="str">
        <f>IF(J406="","",IFERROR(INDEX('Team Rosters'!$C$6:$C$205,MATCH(J406,'Team Rosters'!$B$6:$B$205,0)),"CODE NOT FOUND"))</f>
        <v/>
      </c>
      <c r="L406" s="31" t="str">
        <f t="shared" si="18"/>
        <v/>
      </c>
      <c r="M406" s="31" t="str">
        <f>IF(OR(J406="",C406&lt;&gt;"League",L406&lt;&gt;"VALID"),"",COUNTIFS($J$6:J406,J406,$G$6:G406,G406,$C$6:C406,"League"))</f>
        <v/>
      </c>
      <c r="N406" s="31" t="str">
        <f t="shared" si="19"/>
        <v/>
      </c>
      <c r="O406" s="37" t="str">
        <f t="shared" si="20"/>
        <v/>
      </c>
    </row>
    <row r="407" spans="1:15" ht="15">
      <c r="A407" s="30">
        <v>84</v>
      </c>
      <c r="B407" s="31" t="s">
        <v>498</v>
      </c>
      <c r="C407" s="31" t="s">
        <v>473</v>
      </c>
      <c r="D407" s="31" t="s">
        <v>490</v>
      </c>
      <c r="E407" s="31" t="s">
        <v>491</v>
      </c>
      <c r="F407" s="31" t="str">
        <f>IF(H407=1,INDEX('Match Results'!$G$6:$G$185,MATCH(A407,'Match Results'!$A$6:$A$185,0)),INDEX('Match Results'!$H$6:$H$185,MATCH(A407,'Match Results'!$A$6:$A$185,0)))</f>
        <v>A3</v>
      </c>
      <c r="G407" s="31" t="str">
        <f>IF(H407=1,INDEX('Match Results'!$H$6:$H$185,MATCH(A407,'Match Results'!$A$6:$A$185,0)),INDEX('Match Results'!$G$6:$G$185,MATCH(A407,'Match Results'!$A$6:$A$185,0)))</f>
        <v>A2</v>
      </c>
      <c r="H407" s="31">
        <v>2</v>
      </c>
      <c r="I407" s="31">
        <v>10</v>
      </c>
      <c r="J407" s="32"/>
      <c r="K407" s="31" t="str">
        <f>IF(J407="","",IFERROR(INDEX('Team Rosters'!$C$6:$C$205,MATCH(J407,'Team Rosters'!$B$6:$B$205,0)),"CODE NOT FOUND"))</f>
        <v/>
      </c>
      <c r="L407" s="31" t="str">
        <f t="shared" si="18"/>
        <v/>
      </c>
      <c r="M407" s="31" t="str">
        <f>IF(OR(J407="",C407&lt;&gt;"League",L407&lt;&gt;"VALID"),"",COUNTIFS($J$6:J407,J407,$G$6:G407,G407,$C$6:C407,"League"))</f>
        <v/>
      </c>
      <c r="N407" s="31" t="str">
        <f t="shared" si="19"/>
        <v/>
      </c>
      <c r="O407" s="37" t="str">
        <f t="shared" si="20"/>
        <v/>
      </c>
    </row>
    <row r="408" spans="1:15" ht="15">
      <c r="A408" s="30">
        <v>84</v>
      </c>
      <c r="B408" s="31" t="s">
        <v>498</v>
      </c>
      <c r="C408" s="31" t="s">
        <v>473</v>
      </c>
      <c r="D408" s="31" t="s">
        <v>490</v>
      </c>
      <c r="E408" s="31" t="s">
        <v>491</v>
      </c>
      <c r="F408" s="31" t="str">
        <f>IF(H408=1,INDEX('Match Results'!$G$6:$G$185,MATCH(A408,'Match Results'!$A$6:$A$185,0)),INDEX('Match Results'!$H$6:$H$185,MATCH(A408,'Match Results'!$A$6:$A$185,0)))</f>
        <v>A3</v>
      </c>
      <c r="G408" s="31" t="str">
        <f>IF(H408=1,INDEX('Match Results'!$H$6:$H$185,MATCH(A408,'Match Results'!$A$6:$A$185,0)),INDEX('Match Results'!$G$6:$G$185,MATCH(A408,'Match Results'!$A$6:$A$185,0)))</f>
        <v>A2</v>
      </c>
      <c r="H408" s="31">
        <v>2</v>
      </c>
      <c r="I408" s="31">
        <v>11</v>
      </c>
      <c r="J408" s="32"/>
      <c r="K408" s="31" t="str">
        <f>IF(J408="","",IFERROR(INDEX('Team Rosters'!$C$6:$C$205,MATCH(J408,'Team Rosters'!$B$6:$B$205,0)),"CODE NOT FOUND"))</f>
        <v/>
      </c>
      <c r="L408" s="31" t="str">
        <f t="shared" si="18"/>
        <v/>
      </c>
      <c r="M408" s="31" t="str">
        <f>IF(OR(J408="",C408&lt;&gt;"League",L408&lt;&gt;"VALID"),"",COUNTIFS($J$6:J408,J408,$G$6:G408,G408,$C$6:C408,"League"))</f>
        <v/>
      </c>
      <c r="N408" s="31" t="str">
        <f t="shared" si="19"/>
        <v/>
      </c>
      <c r="O408" s="37" t="str">
        <f t="shared" si="20"/>
        <v/>
      </c>
    </row>
    <row r="409" spans="1:15" ht="15">
      <c r="A409" s="30">
        <v>84</v>
      </c>
      <c r="B409" s="31" t="s">
        <v>498</v>
      </c>
      <c r="C409" s="31" t="s">
        <v>473</v>
      </c>
      <c r="D409" s="31" t="s">
        <v>490</v>
      </c>
      <c r="E409" s="31" t="s">
        <v>491</v>
      </c>
      <c r="F409" s="31" t="str">
        <f>IF(H409=1,INDEX('Match Results'!$G$6:$G$185,MATCH(A409,'Match Results'!$A$6:$A$185,0)),INDEX('Match Results'!$H$6:$H$185,MATCH(A409,'Match Results'!$A$6:$A$185,0)))</f>
        <v>A3</v>
      </c>
      <c r="G409" s="31" t="str">
        <f>IF(H409=1,INDEX('Match Results'!$H$6:$H$185,MATCH(A409,'Match Results'!$A$6:$A$185,0)),INDEX('Match Results'!$G$6:$G$185,MATCH(A409,'Match Results'!$A$6:$A$185,0)))</f>
        <v>A2</v>
      </c>
      <c r="H409" s="31">
        <v>2</v>
      </c>
      <c r="I409" s="31">
        <v>12</v>
      </c>
      <c r="J409" s="32"/>
      <c r="K409" s="31" t="str">
        <f>IF(J409="","",IFERROR(INDEX('Team Rosters'!$C$6:$C$205,MATCH(J409,'Team Rosters'!$B$6:$B$205,0)),"CODE NOT FOUND"))</f>
        <v/>
      </c>
      <c r="L409" s="31" t="str">
        <f t="shared" si="18"/>
        <v/>
      </c>
      <c r="M409" s="31" t="str">
        <f>IF(OR(J409="",C409&lt;&gt;"League",L409&lt;&gt;"VALID"),"",COUNTIFS($J$6:J409,J409,$G$6:G409,G409,$C$6:C409,"League"))</f>
        <v/>
      </c>
      <c r="N409" s="31" t="str">
        <f t="shared" si="19"/>
        <v/>
      </c>
      <c r="O409" s="37" t="str">
        <f t="shared" si="20"/>
        <v/>
      </c>
    </row>
    <row r="410" spans="1:15" ht="15">
      <c r="A410" s="30">
        <v>84</v>
      </c>
      <c r="B410" s="31" t="s">
        <v>498</v>
      </c>
      <c r="C410" s="31" t="s">
        <v>473</v>
      </c>
      <c r="D410" s="31" t="s">
        <v>490</v>
      </c>
      <c r="E410" s="31" t="s">
        <v>491</v>
      </c>
      <c r="F410" s="31" t="str">
        <f>IF(H410=1,INDEX('Match Results'!$G$6:$G$185,MATCH(A410,'Match Results'!$A$6:$A$185,0)),INDEX('Match Results'!$H$6:$H$185,MATCH(A410,'Match Results'!$A$6:$A$185,0)))</f>
        <v>A3</v>
      </c>
      <c r="G410" s="31" t="str">
        <f>IF(H410=1,INDEX('Match Results'!$H$6:$H$185,MATCH(A410,'Match Results'!$A$6:$A$185,0)),INDEX('Match Results'!$G$6:$G$185,MATCH(A410,'Match Results'!$A$6:$A$185,0)))</f>
        <v>A2</v>
      </c>
      <c r="H410" s="31">
        <v>2</v>
      </c>
      <c r="I410" s="31">
        <v>13</v>
      </c>
      <c r="J410" s="32"/>
      <c r="K410" s="31" t="str">
        <f>IF(J410="","",IFERROR(INDEX('Team Rosters'!$C$6:$C$205,MATCH(J410,'Team Rosters'!$B$6:$B$205,0)),"CODE NOT FOUND"))</f>
        <v/>
      </c>
      <c r="L410" s="31" t="str">
        <f t="shared" si="18"/>
        <v/>
      </c>
      <c r="M410" s="31" t="str">
        <f>IF(OR(J410="",C410&lt;&gt;"League",L410&lt;&gt;"VALID"),"",COUNTIFS($J$6:J410,J410,$G$6:G410,G410,$C$6:C410,"League"))</f>
        <v/>
      </c>
      <c r="N410" s="31" t="str">
        <f t="shared" si="19"/>
        <v/>
      </c>
      <c r="O410" s="37" t="str">
        <f t="shared" si="20"/>
        <v/>
      </c>
    </row>
    <row r="411" spans="1:15" ht="15">
      <c r="A411" s="30">
        <v>84</v>
      </c>
      <c r="B411" s="31" t="s">
        <v>498</v>
      </c>
      <c r="C411" s="31" t="s">
        <v>473</v>
      </c>
      <c r="D411" s="31" t="s">
        <v>490</v>
      </c>
      <c r="E411" s="31" t="s">
        <v>491</v>
      </c>
      <c r="F411" s="31" t="str">
        <f>IF(H411=1,INDEX('Match Results'!$G$6:$G$185,MATCH(A411,'Match Results'!$A$6:$A$185,0)),INDEX('Match Results'!$H$6:$H$185,MATCH(A411,'Match Results'!$A$6:$A$185,0)))</f>
        <v>A3</v>
      </c>
      <c r="G411" s="31" t="str">
        <f>IF(H411=1,INDEX('Match Results'!$H$6:$H$185,MATCH(A411,'Match Results'!$A$6:$A$185,0)),INDEX('Match Results'!$G$6:$G$185,MATCH(A411,'Match Results'!$A$6:$A$185,0)))</f>
        <v>A2</v>
      </c>
      <c r="H411" s="31">
        <v>2</v>
      </c>
      <c r="I411" s="31">
        <v>14</v>
      </c>
      <c r="J411" s="32"/>
      <c r="K411" s="31" t="str">
        <f>IF(J411="","",IFERROR(INDEX('Team Rosters'!$C$6:$C$205,MATCH(J411,'Team Rosters'!$B$6:$B$205,0)),"CODE NOT FOUND"))</f>
        <v/>
      </c>
      <c r="L411" s="31" t="str">
        <f t="shared" si="18"/>
        <v/>
      </c>
      <c r="M411" s="31" t="str">
        <f>IF(OR(J411="",C411&lt;&gt;"League",L411&lt;&gt;"VALID"),"",COUNTIFS($J$6:J411,J411,$G$6:G411,G411,$C$6:C411,"League"))</f>
        <v/>
      </c>
      <c r="N411" s="31" t="str">
        <f t="shared" si="19"/>
        <v/>
      </c>
      <c r="O411" s="37" t="str">
        <f t="shared" si="20"/>
        <v/>
      </c>
    </row>
    <row r="412" spans="1:15" ht="15">
      <c r="A412" s="30">
        <v>85</v>
      </c>
      <c r="B412" s="31" t="s">
        <v>499</v>
      </c>
      <c r="C412" s="31" t="s">
        <v>473</v>
      </c>
      <c r="D412" s="31" t="s">
        <v>471</v>
      </c>
      <c r="E412" s="31" t="s">
        <v>472</v>
      </c>
      <c r="F412" s="31" t="str">
        <f>IF(H412=1,INDEX('Match Results'!$G$6:$G$185,MATCH(A412,'Match Results'!$A$6:$A$185,0)),INDEX('Match Results'!$H$6:$H$185,MATCH(A412,'Match Results'!$A$6:$A$185,0)))</f>
        <v>A2</v>
      </c>
      <c r="G412" s="31" t="str">
        <f>IF(H412=1,INDEX('Match Results'!$H$6:$H$185,MATCH(A412,'Match Results'!$A$6:$A$185,0)),INDEX('Match Results'!$G$6:$G$185,MATCH(A412,'Match Results'!$A$6:$A$185,0)))</f>
        <v>A3</v>
      </c>
      <c r="H412" s="31">
        <v>1</v>
      </c>
      <c r="I412" s="31">
        <v>1</v>
      </c>
      <c r="J412" s="32"/>
      <c r="K412" s="31" t="str">
        <f>IF(J412="","",IFERROR(INDEX('Team Rosters'!$C$6:$C$205,MATCH(J412,'Team Rosters'!$B$6:$B$205,0)),"CODE NOT FOUND"))</f>
        <v/>
      </c>
      <c r="L412" s="31" t="str">
        <f t="shared" si="18"/>
        <v/>
      </c>
      <c r="M412" s="31" t="str">
        <f>IF(OR(J412="",C412&lt;&gt;"League",L412&lt;&gt;"VALID"),"",COUNTIFS($J$6:J412,J412,$G$6:G412,G412,$C$6:C412,"League"))</f>
        <v/>
      </c>
      <c r="N412" s="31" t="str">
        <f t="shared" si="19"/>
        <v/>
      </c>
      <c r="O412" s="37" t="str">
        <f t="shared" si="20"/>
        <v/>
      </c>
    </row>
    <row r="413" spans="1:15" ht="15">
      <c r="A413" s="30">
        <v>85</v>
      </c>
      <c r="B413" s="31" t="s">
        <v>499</v>
      </c>
      <c r="C413" s="31" t="s">
        <v>473</v>
      </c>
      <c r="D413" s="31" t="s">
        <v>471</v>
      </c>
      <c r="E413" s="31" t="s">
        <v>472</v>
      </c>
      <c r="F413" s="31" t="str">
        <f>IF(H413=1,INDEX('Match Results'!$G$6:$G$185,MATCH(A413,'Match Results'!$A$6:$A$185,0)),INDEX('Match Results'!$H$6:$H$185,MATCH(A413,'Match Results'!$A$6:$A$185,0)))</f>
        <v>A2</v>
      </c>
      <c r="G413" s="31" t="str">
        <f>IF(H413=1,INDEX('Match Results'!$H$6:$H$185,MATCH(A413,'Match Results'!$A$6:$A$185,0)),INDEX('Match Results'!$G$6:$G$185,MATCH(A413,'Match Results'!$A$6:$A$185,0)))</f>
        <v>A3</v>
      </c>
      <c r="H413" s="31">
        <v>1</v>
      </c>
      <c r="I413" s="31">
        <v>2</v>
      </c>
      <c r="J413" s="32"/>
      <c r="K413" s="31" t="str">
        <f>IF(J413="","",IFERROR(INDEX('Team Rosters'!$C$6:$C$205,MATCH(J413,'Team Rosters'!$B$6:$B$205,0)),"CODE NOT FOUND"))</f>
        <v/>
      </c>
      <c r="L413" s="31" t="str">
        <f t="shared" si="18"/>
        <v/>
      </c>
      <c r="M413" s="31" t="str">
        <f>IF(OR(J413="",C413&lt;&gt;"League",L413&lt;&gt;"VALID"),"",COUNTIFS($J$6:J413,J413,$G$6:G413,G413,$C$6:C413,"League"))</f>
        <v/>
      </c>
      <c r="N413" s="31" t="str">
        <f t="shared" si="19"/>
        <v/>
      </c>
      <c r="O413" s="37" t="str">
        <f t="shared" si="20"/>
        <v/>
      </c>
    </row>
    <row r="414" spans="1:15" ht="15">
      <c r="A414" s="30">
        <v>85</v>
      </c>
      <c r="B414" s="31" t="s">
        <v>499</v>
      </c>
      <c r="C414" s="31" t="s">
        <v>473</v>
      </c>
      <c r="D414" s="31" t="s">
        <v>471</v>
      </c>
      <c r="E414" s="31" t="s">
        <v>472</v>
      </c>
      <c r="F414" s="31" t="str">
        <f>IF(H414=1,INDEX('Match Results'!$G$6:$G$185,MATCH(A414,'Match Results'!$A$6:$A$185,0)),INDEX('Match Results'!$H$6:$H$185,MATCH(A414,'Match Results'!$A$6:$A$185,0)))</f>
        <v>A3</v>
      </c>
      <c r="G414" s="31" t="str">
        <f>IF(H414=1,INDEX('Match Results'!$H$6:$H$185,MATCH(A414,'Match Results'!$A$6:$A$185,0)),INDEX('Match Results'!$G$6:$G$185,MATCH(A414,'Match Results'!$A$6:$A$185,0)))</f>
        <v>A2</v>
      </c>
      <c r="H414" s="31">
        <v>2</v>
      </c>
      <c r="I414" s="31">
        <v>3</v>
      </c>
      <c r="J414" s="32"/>
      <c r="K414" s="31" t="str">
        <f>IF(J414="","",IFERROR(INDEX('Team Rosters'!$C$6:$C$205,MATCH(J414,'Team Rosters'!$B$6:$B$205,0)),"CODE NOT FOUND"))</f>
        <v/>
      </c>
      <c r="L414" s="31" t="str">
        <f t="shared" si="18"/>
        <v/>
      </c>
      <c r="M414" s="31" t="str">
        <f>IF(OR(J414="",C414&lt;&gt;"League",L414&lt;&gt;"VALID"),"",COUNTIFS($J$6:J414,J414,$G$6:G414,G414,$C$6:C414,"League"))</f>
        <v/>
      </c>
      <c r="N414" s="31" t="str">
        <f t="shared" si="19"/>
        <v/>
      </c>
      <c r="O414" s="37" t="str">
        <f t="shared" si="20"/>
        <v/>
      </c>
    </row>
    <row r="415" spans="1:15" ht="15">
      <c r="A415" s="30">
        <v>85</v>
      </c>
      <c r="B415" s="31" t="s">
        <v>499</v>
      </c>
      <c r="C415" s="31" t="s">
        <v>473</v>
      </c>
      <c r="D415" s="31" t="s">
        <v>471</v>
      </c>
      <c r="E415" s="31" t="s">
        <v>472</v>
      </c>
      <c r="F415" s="31" t="str">
        <f>IF(H415=1,INDEX('Match Results'!$G$6:$G$185,MATCH(A415,'Match Results'!$A$6:$A$185,0)),INDEX('Match Results'!$H$6:$H$185,MATCH(A415,'Match Results'!$A$6:$A$185,0)))</f>
        <v>A3</v>
      </c>
      <c r="G415" s="31" t="str">
        <f>IF(H415=1,INDEX('Match Results'!$H$6:$H$185,MATCH(A415,'Match Results'!$A$6:$A$185,0)),INDEX('Match Results'!$G$6:$G$185,MATCH(A415,'Match Results'!$A$6:$A$185,0)))</f>
        <v>A2</v>
      </c>
      <c r="H415" s="31">
        <v>2</v>
      </c>
      <c r="I415" s="31">
        <v>4</v>
      </c>
      <c r="J415" s="32"/>
      <c r="K415" s="31" t="str">
        <f>IF(J415="","",IFERROR(INDEX('Team Rosters'!$C$6:$C$205,MATCH(J415,'Team Rosters'!$B$6:$B$205,0)),"CODE NOT FOUND"))</f>
        <v/>
      </c>
      <c r="L415" s="31" t="str">
        <f t="shared" si="18"/>
        <v/>
      </c>
      <c r="M415" s="31" t="str">
        <f>IF(OR(J415="",C415&lt;&gt;"League",L415&lt;&gt;"VALID"),"",COUNTIFS($J$6:J415,J415,$G$6:G415,G415,$C$6:C415,"League"))</f>
        <v/>
      </c>
      <c r="N415" s="31" t="str">
        <f t="shared" si="19"/>
        <v/>
      </c>
      <c r="O415" s="37" t="str">
        <f t="shared" si="20"/>
        <v/>
      </c>
    </row>
    <row r="416" spans="1:15" ht="15">
      <c r="A416" s="30">
        <v>86</v>
      </c>
      <c r="B416" s="31" t="s">
        <v>499</v>
      </c>
      <c r="C416" s="31" t="s">
        <v>473</v>
      </c>
      <c r="D416" s="31" t="s">
        <v>471</v>
      </c>
      <c r="E416" s="31" t="s">
        <v>475</v>
      </c>
      <c r="F416" s="31" t="str">
        <f>IF(H416=1,INDEX('Match Results'!$G$6:$G$185,MATCH(A416,'Match Results'!$A$6:$A$185,0)),INDEX('Match Results'!$H$6:$H$185,MATCH(A416,'Match Results'!$A$6:$A$185,0)))</f>
        <v>B1</v>
      </c>
      <c r="G416" s="31" t="str">
        <f>IF(H416=1,INDEX('Match Results'!$H$6:$H$185,MATCH(A416,'Match Results'!$A$6:$A$185,0)),INDEX('Match Results'!$G$6:$G$185,MATCH(A416,'Match Results'!$A$6:$A$185,0)))</f>
        <v>B2</v>
      </c>
      <c r="H416" s="31">
        <v>1</v>
      </c>
      <c r="I416" s="31">
        <v>1</v>
      </c>
      <c r="J416" s="32"/>
      <c r="K416" s="31" t="str">
        <f>IF(J416="","",IFERROR(INDEX('Team Rosters'!$C$6:$C$205,MATCH(J416,'Team Rosters'!$B$6:$B$205,0)),"CODE NOT FOUND"))</f>
        <v/>
      </c>
      <c r="L416" s="31" t="str">
        <f t="shared" si="18"/>
        <v/>
      </c>
      <c r="M416" s="31" t="str">
        <f>IF(OR(J416="",C416&lt;&gt;"League",L416&lt;&gt;"VALID"),"",COUNTIFS($J$6:J416,J416,$G$6:G416,G416,$C$6:C416,"League"))</f>
        <v/>
      </c>
      <c r="N416" s="31" t="str">
        <f t="shared" si="19"/>
        <v/>
      </c>
      <c r="O416" s="37" t="str">
        <f t="shared" si="20"/>
        <v/>
      </c>
    </row>
    <row r="417" spans="1:15" ht="15">
      <c r="A417" s="30">
        <v>86</v>
      </c>
      <c r="B417" s="31" t="s">
        <v>499</v>
      </c>
      <c r="C417" s="31" t="s">
        <v>473</v>
      </c>
      <c r="D417" s="31" t="s">
        <v>471</v>
      </c>
      <c r="E417" s="31" t="s">
        <v>475</v>
      </c>
      <c r="F417" s="31" t="str">
        <f>IF(H417=1,INDEX('Match Results'!$G$6:$G$185,MATCH(A417,'Match Results'!$A$6:$A$185,0)),INDEX('Match Results'!$H$6:$H$185,MATCH(A417,'Match Results'!$A$6:$A$185,0)))</f>
        <v>B1</v>
      </c>
      <c r="G417" s="31" t="str">
        <f>IF(H417=1,INDEX('Match Results'!$H$6:$H$185,MATCH(A417,'Match Results'!$A$6:$A$185,0)),INDEX('Match Results'!$G$6:$G$185,MATCH(A417,'Match Results'!$A$6:$A$185,0)))</f>
        <v>B2</v>
      </c>
      <c r="H417" s="31">
        <v>1</v>
      </c>
      <c r="I417" s="31">
        <v>2</v>
      </c>
      <c r="J417" s="32"/>
      <c r="K417" s="31" t="str">
        <f>IF(J417="","",IFERROR(INDEX('Team Rosters'!$C$6:$C$205,MATCH(J417,'Team Rosters'!$B$6:$B$205,0)),"CODE NOT FOUND"))</f>
        <v/>
      </c>
      <c r="L417" s="31" t="str">
        <f t="shared" si="18"/>
        <v/>
      </c>
      <c r="M417" s="31" t="str">
        <f>IF(OR(J417="",C417&lt;&gt;"League",L417&lt;&gt;"VALID"),"",COUNTIFS($J$6:J417,J417,$G$6:G417,G417,$C$6:C417,"League"))</f>
        <v/>
      </c>
      <c r="N417" s="31" t="str">
        <f t="shared" si="19"/>
        <v/>
      </c>
      <c r="O417" s="37" t="str">
        <f t="shared" si="20"/>
        <v/>
      </c>
    </row>
    <row r="418" spans="1:15" ht="15">
      <c r="A418" s="30">
        <v>86</v>
      </c>
      <c r="B418" s="31" t="s">
        <v>499</v>
      </c>
      <c r="C418" s="31" t="s">
        <v>473</v>
      </c>
      <c r="D418" s="31" t="s">
        <v>471</v>
      </c>
      <c r="E418" s="31" t="s">
        <v>475</v>
      </c>
      <c r="F418" s="31" t="str">
        <f>IF(H418=1,INDEX('Match Results'!$G$6:$G$185,MATCH(A418,'Match Results'!$A$6:$A$185,0)),INDEX('Match Results'!$H$6:$H$185,MATCH(A418,'Match Results'!$A$6:$A$185,0)))</f>
        <v>B2</v>
      </c>
      <c r="G418" s="31" t="str">
        <f>IF(H418=1,INDEX('Match Results'!$H$6:$H$185,MATCH(A418,'Match Results'!$A$6:$A$185,0)),INDEX('Match Results'!$G$6:$G$185,MATCH(A418,'Match Results'!$A$6:$A$185,0)))</f>
        <v>B1</v>
      </c>
      <c r="H418" s="31">
        <v>2</v>
      </c>
      <c r="I418" s="31">
        <v>3</v>
      </c>
      <c r="J418" s="32"/>
      <c r="K418" s="31" t="str">
        <f>IF(J418="","",IFERROR(INDEX('Team Rosters'!$C$6:$C$205,MATCH(J418,'Team Rosters'!$B$6:$B$205,0)),"CODE NOT FOUND"))</f>
        <v/>
      </c>
      <c r="L418" s="31" t="str">
        <f t="shared" si="18"/>
        <v/>
      </c>
      <c r="M418" s="31" t="str">
        <f>IF(OR(J418="",C418&lt;&gt;"League",L418&lt;&gt;"VALID"),"",COUNTIFS($J$6:J418,J418,$G$6:G418,G418,$C$6:C418,"League"))</f>
        <v/>
      </c>
      <c r="N418" s="31" t="str">
        <f t="shared" si="19"/>
        <v/>
      </c>
      <c r="O418" s="37" t="str">
        <f t="shared" si="20"/>
        <v/>
      </c>
    </row>
    <row r="419" spans="1:15" ht="15">
      <c r="A419" s="30">
        <v>86</v>
      </c>
      <c r="B419" s="31" t="s">
        <v>499</v>
      </c>
      <c r="C419" s="31" t="s">
        <v>473</v>
      </c>
      <c r="D419" s="31" t="s">
        <v>471</v>
      </c>
      <c r="E419" s="31" t="s">
        <v>475</v>
      </c>
      <c r="F419" s="31" t="str">
        <f>IF(H419=1,INDEX('Match Results'!$G$6:$G$185,MATCH(A419,'Match Results'!$A$6:$A$185,0)),INDEX('Match Results'!$H$6:$H$185,MATCH(A419,'Match Results'!$A$6:$A$185,0)))</f>
        <v>B2</v>
      </c>
      <c r="G419" s="31" t="str">
        <f>IF(H419=1,INDEX('Match Results'!$H$6:$H$185,MATCH(A419,'Match Results'!$A$6:$A$185,0)),INDEX('Match Results'!$G$6:$G$185,MATCH(A419,'Match Results'!$A$6:$A$185,0)))</f>
        <v>B1</v>
      </c>
      <c r="H419" s="31">
        <v>2</v>
      </c>
      <c r="I419" s="31">
        <v>4</v>
      </c>
      <c r="J419" s="32"/>
      <c r="K419" s="31" t="str">
        <f>IF(J419="","",IFERROR(INDEX('Team Rosters'!$C$6:$C$205,MATCH(J419,'Team Rosters'!$B$6:$B$205,0)),"CODE NOT FOUND"))</f>
        <v/>
      </c>
      <c r="L419" s="31" t="str">
        <f t="shared" si="18"/>
        <v/>
      </c>
      <c r="M419" s="31" t="str">
        <f>IF(OR(J419="",C419&lt;&gt;"League",L419&lt;&gt;"VALID"),"",COUNTIFS($J$6:J419,J419,$G$6:G419,G419,$C$6:C419,"League"))</f>
        <v/>
      </c>
      <c r="N419" s="31" t="str">
        <f t="shared" si="19"/>
        <v/>
      </c>
      <c r="O419" s="37" t="str">
        <f t="shared" si="20"/>
        <v/>
      </c>
    </row>
    <row r="420" spans="1:15" ht="15">
      <c r="A420" s="30">
        <v>87</v>
      </c>
      <c r="B420" s="31" t="s">
        <v>499</v>
      </c>
      <c r="C420" s="31" t="s">
        <v>473</v>
      </c>
      <c r="D420" s="31" t="s">
        <v>471</v>
      </c>
      <c r="E420" s="31" t="s">
        <v>477</v>
      </c>
      <c r="F420" s="31" t="str">
        <f>IF(H420=1,INDEX('Match Results'!$G$6:$G$185,MATCH(A420,'Match Results'!$A$6:$A$185,0)),INDEX('Match Results'!$H$6:$H$185,MATCH(A420,'Match Results'!$A$6:$A$185,0)))</f>
        <v>B3</v>
      </c>
      <c r="G420" s="31" t="str">
        <f>IF(H420=1,INDEX('Match Results'!$H$6:$H$185,MATCH(A420,'Match Results'!$A$6:$A$185,0)),INDEX('Match Results'!$G$6:$G$185,MATCH(A420,'Match Results'!$A$6:$A$185,0)))</f>
        <v>B4</v>
      </c>
      <c r="H420" s="31">
        <v>1</v>
      </c>
      <c r="I420" s="31">
        <v>1</v>
      </c>
      <c r="J420" s="32"/>
      <c r="K420" s="31" t="str">
        <f>IF(J420="","",IFERROR(INDEX('Team Rosters'!$C$6:$C$205,MATCH(J420,'Team Rosters'!$B$6:$B$205,0)),"CODE NOT FOUND"))</f>
        <v/>
      </c>
      <c r="L420" s="31" t="str">
        <f t="shared" si="18"/>
        <v/>
      </c>
      <c r="M420" s="31" t="str">
        <f>IF(OR(J420="",C420&lt;&gt;"League",L420&lt;&gt;"VALID"),"",COUNTIFS($J$6:J420,J420,$G$6:G420,G420,$C$6:C420,"League"))</f>
        <v/>
      </c>
      <c r="N420" s="31" t="str">
        <f t="shared" si="19"/>
        <v/>
      </c>
      <c r="O420" s="37" t="str">
        <f t="shared" si="20"/>
        <v/>
      </c>
    </row>
    <row r="421" spans="1:15" ht="15">
      <c r="A421" s="30">
        <v>87</v>
      </c>
      <c r="B421" s="31" t="s">
        <v>499</v>
      </c>
      <c r="C421" s="31" t="s">
        <v>473</v>
      </c>
      <c r="D421" s="31" t="s">
        <v>471</v>
      </c>
      <c r="E421" s="31" t="s">
        <v>477</v>
      </c>
      <c r="F421" s="31" t="str">
        <f>IF(H421=1,INDEX('Match Results'!$G$6:$G$185,MATCH(A421,'Match Results'!$A$6:$A$185,0)),INDEX('Match Results'!$H$6:$H$185,MATCH(A421,'Match Results'!$A$6:$A$185,0)))</f>
        <v>B3</v>
      </c>
      <c r="G421" s="31" t="str">
        <f>IF(H421=1,INDEX('Match Results'!$H$6:$H$185,MATCH(A421,'Match Results'!$A$6:$A$185,0)),INDEX('Match Results'!$G$6:$G$185,MATCH(A421,'Match Results'!$A$6:$A$185,0)))</f>
        <v>B4</v>
      </c>
      <c r="H421" s="31">
        <v>1</v>
      </c>
      <c r="I421" s="31">
        <v>2</v>
      </c>
      <c r="J421" s="32"/>
      <c r="K421" s="31" t="str">
        <f>IF(J421="","",IFERROR(INDEX('Team Rosters'!$C$6:$C$205,MATCH(J421,'Team Rosters'!$B$6:$B$205,0)),"CODE NOT FOUND"))</f>
        <v/>
      </c>
      <c r="L421" s="31" t="str">
        <f t="shared" si="18"/>
        <v/>
      </c>
      <c r="M421" s="31" t="str">
        <f>IF(OR(J421="",C421&lt;&gt;"League",L421&lt;&gt;"VALID"),"",COUNTIFS($J$6:J421,J421,$G$6:G421,G421,$C$6:C421,"League"))</f>
        <v/>
      </c>
      <c r="N421" s="31" t="str">
        <f t="shared" si="19"/>
        <v/>
      </c>
      <c r="O421" s="37" t="str">
        <f t="shared" si="20"/>
        <v/>
      </c>
    </row>
    <row r="422" spans="1:15" ht="15">
      <c r="A422" s="30">
        <v>87</v>
      </c>
      <c r="B422" s="31" t="s">
        <v>499</v>
      </c>
      <c r="C422" s="31" t="s">
        <v>473</v>
      </c>
      <c r="D422" s="31" t="s">
        <v>471</v>
      </c>
      <c r="E422" s="31" t="s">
        <v>477</v>
      </c>
      <c r="F422" s="31" t="str">
        <f>IF(H422=1,INDEX('Match Results'!$G$6:$G$185,MATCH(A422,'Match Results'!$A$6:$A$185,0)),INDEX('Match Results'!$H$6:$H$185,MATCH(A422,'Match Results'!$A$6:$A$185,0)))</f>
        <v>B4</v>
      </c>
      <c r="G422" s="31" t="str">
        <f>IF(H422=1,INDEX('Match Results'!$H$6:$H$185,MATCH(A422,'Match Results'!$A$6:$A$185,0)),INDEX('Match Results'!$G$6:$G$185,MATCH(A422,'Match Results'!$A$6:$A$185,0)))</f>
        <v>B3</v>
      </c>
      <c r="H422" s="31">
        <v>2</v>
      </c>
      <c r="I422" s="31">
        <v>3</v>
      </c>
      <c r="J422" s="32"/>
      <c r="K422" s="31" t="str">
        <f>IF(J422="","",IFERROR(INDEX('Team Rosters'!$C$6:$C$205,MATCH(J422,'Team Rosters'!$B$6:$B$205,0)),"CODE NOT FOUND"))</f>
        <v/>
      </c>
      <c r="L422" s="31" t="str">
        <f t="shared" si="18"/>
        <v/>
      </c>
      <c r="M422" s="31" t="str">
        <f>IF(OR(J422="",C422&lt;&gt;"League",L422&lt;&gt;"VALID"),"",COUNTIFS($J$6:J422,J422,$G$6:G422,G422,$C$6:C422,"League"))</f>
        <v/>
      </c>
      <c r="N422" s="31" t="str">
        <f t="shared" si="19"/>
        <v/>
      </c>
      <c r="O422" s="37" t="str">
        <f t="shared" si="20"/>
        <v/>
      </c>
    </row>
    <row r="423" spans="1:15" ht="15">
      <c r="A423" s="30">
        <v>87</v>
      </c>
      <c r="B423" s="31" t="s">
        <v>499</v>
      </c>
      <c r="C423" s="31" t="s">
        <v>473</v>
      </c>
      <c r="D423" s="31" t="s">
        <v>471</v>
      </c>
      <c r="E423" s="31" t="s">
        <v>477</v>
      </c>
      <c r="F423" s="31" t="str">
        <f>IF(H423=1,INDEX('Match Results'!$G$6:$G$185,MATCH(A423,'Match Results'!$A$6:$A$185,0)),INDEX('Match Results'!$H$6:$H$185,MATCH(A423,'Match Results'!$A$6:$A$185,0)))</f>
        <v>B4</v>
      </c>
      <c r="G423" s="31" t="str">
        <f>IF(H423=1,INDEX('Match Results'!$H$6:$H$185,MATCH(A423,'Match Results'!$A$6:$A$185,0)),INDEX('Match Results'!$G$6:$G$185,MATCH(A423,'Match Results'!$A$6:$A$185,0)))</f>
        <v>B3</v>
      </c>
      <c r="H423" s="31">
        <v>2</v>
      </c>
      <c r="I423" s="31">
        <v>4</v>
      </c>
      <c r="J423" s="32"/>
      <c r="K423" s="31" t="str">
        <f>IF(J423="","",IFERROR(INDEX('Team Rosters'!$C$6:$C$205,MATCH(J423,'Team Rosters'!$B$6:$B$205,0)),"CODE NOT FOUND"))</f>
        <v/>
      </c>
      <c r="L423" s="31" t="str">
        <f t="shared" si="18"/>
        <v/>
      </c>
      <c r="M423" s="31" t="str">
        <f>IF(OR(J423="",C423&lt;&gt;"League",L423&lt;&gt;"VALID"),"",COUNTIFS($J$6:J423,J423,$G$6:G423,G423,$C$6:C423,"League"))</f>
        <v/>
      </c>
      <c r="N423" s="31" t="str">
        <f t="shared" si="19"/>
        <v/>
      </c>
      <c r="O423" s="37" t="str">
        <f t="shared" si="20"/>
        <v/>
      </c>
    </row>
    <row r="424" spans="1:15" ht="15">
      <c r="A424" s="30">
        <v>88</v>
      </c>
      <c r="B424" s="31" t="s">
        <v>499</v>
      </c>
      <c r="C424" s="31" t="s">
        <v>473</v>
      </c>
      <c r="D424" s="31" t="s">
        <v>479</v>
      </c>
      <c r="E424" s="31" t="s">
        <v>475</v>
      </c>
      <c r="F424" s="31" t="str">
        <f>IF(H424=1,INDEX('Match Results'!$G$6:$G$185,MATCH(A424,'Match Results'!$A$6:$A$185,0)),INDEX('Match Results'!$H$6:$H$185,MATCH(A424,'Match Results'!$A$6:$A$185,0)))</f>
        <v>A1</v>
      </c>
      <c r="G424" s="31" t="str">
        <f>IF(H424=1,INDEX('Match Results'!$H$6:$H$185,MATCH(A424,'Match Results'!$A$6:$A$185,0)),INDEX('Match Results'!$G$6:$G$185,MATCH(A424,'Match Results'!$A$6:$A$185,0)))</f>
        <v>A3</v>
      </c>
      <c r="H424" s="31">
        <v>1</v>
      </c>
      <c r="I424" s="31">
        <v>1</v>
      </c>
      <c r="J424" s="32"/>
      <c r="K424" s="31" t="str">
        <f>IF(J424="","",IFERROR(INDEX('Team Rosters'!$C$6:$C$205,MATCH(J424,'Team Rosters'!$B$6:$B$205,0)),"CODE NOT FOUND"))</f>
        <v/>
      </c>
      <c r="L424" s="31" t="str">
        <f t="shared" si="18"/>
        <v/>
      </c>
      <c r="M424" s="31" t="str">
        <f>IF(OR(J424="",C424&lt;&gt;"League",L424&lt;&gt;"VALID"),"",COUNTIFS($J$6:J424,J424,$G$6:G424,G424,$C$6:C424,"League"))</f>
        <v/>
      </c>
      <c r="N424" s="31" t="str">
        <f t="shared" si="19"/>
        <v/>
      </c>
      <c r="O424" s="37" t="str">
        <f t="shared" si="20"/>
        <v/>
      </c>
    </row>
    <row r="425" spans="1:15" ht="15">
      <c r="A425" s="30">
        <v>88</v>
      </c>
      <c r="B425" s="31" t="s">
        <v>499</v>
      </c>
      <c r="C425" s="31" t="s">
        <v>473</v>
      </c>
      <c r="D425" s="31" t="s">
        <v>479</v>
      </c>
      <c r="E425" s="31" t="s">
        <v>475</v>
      </c>
      <c r="F425" s="31" t="str">
        <f>IF(H425=1,INDEX('Match Results'!$G$6:$G$185,MATCH(A425,'Match Results'!$A$6:$A$185,0)),INDEX('Match Results'!$H$6:$H$185,MATCH(A425,'Match Results'!$A$6:$A$185,0)))</f>
        <v>A1</v>
      </c>
      <c r="G425" s="31" t="str">
        <f>IF(H425=1,INDEX('Match Results'!$H$6:$H$185,MATCH(A425,'Match Results'!$A$6:$A$185,0)),INDEX('Match Results'!$G$6:$G$185,MATCH(A425,'Match Results'!$A$6:$A$185,0)))</f>
        <v>A3</v>
      </c>
      <c r="H425" s="31">
        <v>1</v>
      </c>
      <c r="I425" s="31">
        <v>2</v>
      </c>
      <c r="J425" s="32"/>
      <c r="K425" s="31" t="str">
        <f>IF(J425="","",IFERROR(INDEX('Team Rosters'!$C$6:$C$205,MATCH(J425,'Team Rosters'!$B$6:$B$205,0)),"CODE NOT FOUND"))</f>
        <v/>
      </c>
      <c r="L425" s="31" t="str">
        <f t="shared" si="18"/>
        <v/>
      </c>
      <c r="M425" s="31" t="str">
        <f>IF(OR(J425="",C425&lt;&gt;"League",L425&lt;&gt;"VALID"),"",COUNTIFS($J$6:J425,J425,$G$6:G425,G425,$C$6:C425,"League"))</f>
        <v/>
      </c>
      <c r="N425" s="31" t="str">
        <f t="shared" si="19"/>
        <v/>
      </c>
      <c r="O425" s="37" t="str">
        <f t="shared" si="20"/>
        <v/>
      </c>
    </row>
    <row r="426" spans="1:15" ht="15">
      <c r="A426" s="30">
        <v>88</v>
      </c>
      <c r="B426" s="31" t="s">
        <v>499</v>
      </c>
      <c r="C426" s="31" t="s">
        <v>473</v>
      </c>
      <c r="D426" s="31" t="s">
        <v>479</v>
      </c>
      <c r="E426" s="31" t="s">
        <v>475</v>
      </c>
      <c r="F426" s="31" t="str">
        <f>IF(H426=1,INDEX('Match Results'!$G$6:$G$185,MATCH(A426,'Match Results'!$A$6:$A$185,0)),INDEX('Match Results'!$H$6:$H$185,MATCH(A426,'Match Results'!$A$6:$A$185,0)))</f>
        <v>A3</v>
      </c>
      <c r="G426" s="31" t="str">
        <f>IF(H426=1,INDEX('Match Results'!$H$6:$H$185,MATCH(A426,'Match Results'!$A$6:$A$185,0)),INDEX('Match Results'!$G$6:$G$185,MATCH(A426,'Match Results'!$A$6:$A$185,0)))</f>
        <v>A1</v>
      </c>
      <c r="H426" s="31">
        <v>2</v>
      </c>
      <c r="I426" s="31">
        <v>3</v>
      </c>
      <c r="J426" s="32"/>
      <c r="K426" s="31" t="str">
        <f>IF(J426="","",IFERROR(INDEX('Team Rosters'!$C$6:$C$205,MATCH(J426,'Team Rosters'!$B$6:$B$205,0)),"CODE NOT FOUND"))</f>
        <v/>
      </c>
      <c r="L426" s="31" t="str">
        <f t="shared" si="18"/>
        <v/>
      </c>
      <c r="M426" s="31" t="str">
        <f>IF(OR(J426="",C426&lt;&gt;"League",L426&lt;&gt;"VALID"),"",COUNTIFS($J$6:J426,J426,$G$6:G426,G426,$C$6:C426,"League"))</f>
        <v/>
      </c>
      <c r="N426" s="31" t="str">
        <f t="shared" si="19"/>
        <v/>
      </c>
      <c r="O426" s="37" t="str">
        <f t="shared" si="20"/>
        <v/>
      </c>
    </row>
    <row r="427" spans="1:15" ht="15">
      <c r="A427" s="30">
        <v>88</v>
      </c>
      <c r="B427" s="31" t="s">
        <v>499</v>
      </c>
      <c r="C427" s="31" t="s">
        <v>473</v>
      </c>
      <c r="D427" s="31" t="s">
        <v>479</v>
      </c>
      <c r="E427" s="31" t="s">
        <v>475</v>
      </c>
      <c r="F427" s="31" t="str">
        <f>IF(H427=1,INDEX('Match Results'!$G$6:$G$185,MATCH(A427,'Match Results'!$A$6:$A$185,0)),INDEX('Match Results'!$H$6:$H$185,MATCH(A427,'Match Results'!$A$6:$A$185,0)))</f>
        <v>A3</v>
      </c>
      <c r="G427" s="31" t="str">
        <f>IF(H427=1,INDEX('Match Results'!$H$6:$H$185,MATCH(A427,'Match Results'!$A$6:$A$185,0)),INDEX('Match Results'!$G$6:$G$185,MATCH(A427,'Match Results'!$A$6:$A$185,0)))</f>
        <v>A1</v>
      </c>
      <c r="H427" s="31">
        <v>2</v>
      </c>
      <c r="I427" s="31">
        <v>4</v>
      </c>
      <c r="J427" s="32"/>
      <c r="K427" s="31" t="str">
        <f>IF(J427="","",IFERROR(INDEX('Team Rosters'!$C$6:$C$205,MATCH(J427,'Team Rosters'!$B$6:$B$205,0)),"CODE NOT FOUND"))</f>
        <v/>
      </c>
      <c r="L427" s="31" t="str">
        <f t="shared" si="18"/>
        <v/>
      </c>
      <c r="M427" s="31" t="str">
        <f>IF(OR(J427="",C427&lt;&gt;"League",L427&lt;&gt;"VALID"),"",COUNTIFS($J$6:J427,J427,$G$6:G427,G427,$C$6:C427,"League"))</f>
        <v/>
      </c>
      <c r="N427" s="31" t="str">
        <f t="shared" si="19"/>
        <v/>
      </c>
      <c r="O427" s="37" t="str">
        <f t="shared" si="20"/>
        <v/>
      </c>
    </row>
    <row r="428" spans="1:15" ht="15">
      <c r="A428" s="30">
        <v>89</v>
      </c>
      <c r="B428" s="31" t="s">
        <v>499</v>
      </c>
      <c r="C428" s="31" t="s">
        <v>473</v>
      </c>
      <c r="D428" s="31" t="s">
        <v>479</v>
      </c>
      <c r="E428" s="31" t="s">
        <v>472</v>
      </c>
      <c r="F428" s="31" t="str">
        <f>IF(H428=1,INDEX('Match Results'!$G$6:$G$185,MATCH(A428,'Match Results'!$A$6:$A$185,0)),INDEX('Match Results'!$H$6:$H$185,MATCH(A428,'Match Results'!$A$6:$A$185,0)))</f>
        <v>A2</v>
      </c>
      <c r="G428" s="31" t="str">
        <f>IF(H428=1,INDEX('Match Results'!$H$6:$H$185,MATCH(A428,'Match Results'!$A$6:$A$185,0)),INDEX('Match Results'!$G$6:$G$185,MATCH(A428,'Match Results'!$A$6:$A$185,0)))</f>
        <v>A4</v>
      </c>
      <c r="H428" s="31">
        <v>1</v>
      </c>
      <c r="I428" s="31">
        <v>1</v>
      </c>
      <c r="J428" s="32"/>
      <c r="K428" s="31" t="str">
        <f>IF(J428="","",IFERROR(INDEX('Team Rosters'!$C$6:$C$205,MATCH(J428,'Team Rosters'!$B$6:$B$205,0)),"CODE NOT FOUND"))</f>
        <v/>
      </c>
      <c r="L428" s="31" t="str">
        <f t="shared" si="18"/>
        <v/>
      </c>
      <c r="M428" s="31" t="str">
        <f>IF(OR(J428="",C428&lt;&gt;"League",L428&lt;&gt;"VALID"),"",COUNTIFS($J$6:J428,J428,$G$6:G428,G428,$C$6:C428,"League"))</f>
        <v/>
      </c>
      <c r="N428" s="31" t="str">
        <f t="shared" si="19"/>
        <v/>
      </c>
      <c r="O428" s="37" t="str">
        <f t="shared" si="20"/>
        <v/>
      </c>
    </row>
    <row r="429" spans="1:15" ht="15">
      <c r="A429" s="30">
        <v>89</v>
      </c>
      <c r="B429" s="31" t="s">
        <v>499</v>
      </c>
      <c r="C429" s="31" t="s">
        <v>473</v>
      </c>
      <c r="D429" s="31" t="s">
        <v>479</v>
      </c>
      <c r="E429" s="31" t="s">
        <v>472</v>
      </c>
      <c r="F429" s="31" t="str">
        <f>IF(H429=1,INDEX('Match Results'!$G$6:$G$185,MATCH(A429,'Match Results'!$A$6:$A$185,0)),INDEX('Match Results'!$H$6:$H$185,MATCH(A429,'Match Results'!$A$6:$A$185,0)))</f>
        <v>A2</v>
      </c>
      <c r="G429" s="31" t="str">
        <f>IF(H429=1,INDEX('Match Results'!$H$6:$H$185,MATCH(A429,'Match Results'!$A$6:$A$185,0)),INDEX('Match Results'!$G$6:$G$185,MATCH(A429,'Match Results'!$A$6:$A$185,0)))</f>
        <v>A4</v>
      </c>
      <c r="H429" s="31">
        <v>1</v>
      </c>
      <c r="I429" s="31">
        <v>2</v>
      </c>
      <c r="J429" s="32"/>
      <c r="K429" s="31" t="str">
        <f>IF(J429="","",IFERROR(INDEX('Team Rosters'!$C$6:$C$205,MATCH(J429,'Team Rosters'!$B$6:$B$205,0)),"CODE NOT FOUND"))</f>
        <v/>
      </c>
      <c r="L429" s="31" t="str">
        <f t="shared" si="18"/>
        <v/>
      </c>
      <c r="M429" s="31" t="str">
        <f>IF(OR(J429="",C429&lt;&gt;"League",L429&lt;&gt;"VALID"),"",COUNTIFS($J$6:J429,J429,$G$6:G429,G429,$C$6:C429,"League"))</f>
        <v/>
      </c>
      <c r="N429" s="31" t="str">
        <f t="shared" si="19"/>
        <v/>
      </c>
      <c r="O429" s="37" t="str">
        <f t="shared" si="20"/>
        <v/>
      </c>
    </row>
    <row r="430" spans="1:15" ht="15">
      <c r="A430" s="30">
        <v>89</v>
      </c>
      <c r="B430" s="31" t="s">
        <v>499</v>
      </c>
      <c r="C430" s="31" t="s">
        <v>473</v>
      </c>
      <c r="D430" s="31" t="s">
        <v>479</v>
      </c>
      <c r="E430" s="31" t="s">
        <v>472</v>
      </c>
      <c r="F430" s="31" t="str">
        <f>IF(H430=1,INDEX('Match Results'!$G$6:$G$185,MATCH(A430,'Match Results'!$A$6:$A$185,0)),INDEX('Match Results'!$H$6:$H$185,MATCH(A430,'Match Results'!$A$6:$A$185,0)))</f>
        <v>A4</v>
      </c>
      <c r="G430" s="31" t="str">
        <f>IF(H430=1,INDEX('Match Results'!$H$6:$H$185,MATCH(A430,'Match Results'!$A$6:$A$185,0)),INDEX('Match Results'!$G$6:$G$185,MATCH(A430,'Match Results'!$A$6:$A$185,0)))</f>
        <v>A2</v>
      </c>
      <c r="H430" s="31">
        <v>2</v>
      </c>
      <c r="I430" s="31">
        <v>3</v>
      </c>
      <c r="J430" s="32"/>
      <c r="K430" s="31" t="str">
        <f>IF(J430="","",IFERROR(INDEX('Team Rosters'!$C$6:$C$205,MATCH(J430,'Team Rosters'!$B$6:$B$205,0)),"CODE NOT FOUND"))</f>
        <v/>
      </c>
      <c r="L430" s="31" t="str">
        <f t="shared" si="18"/>
        <v/>
      </c>
      <c r="M430" s="31" t="str">
        <f>IF(OR(J430="",C430&lt;&gt;"League",L430&lt;&gt;"VALID"),"",COUNTIFS($J$6:J430,J430,$G$6:G430,G430,$C$6:C430,"League"))</f>
        <v/>
      </c>
      <c r="N430" s="31" t="str">
        <f t="shared" si="19"/>
        <v/>
      </c>
      <c r="O430" s="37" t="str">
        <f t="shared" si="20"/>
        <v/>
      </c>
    </row>
    <row r="431" spans="1:15" ht="15">
      <c r="A431" s="30">
        <v>89</v>
      </c>
      <c r="B431" s="31" t="s">
        <v>499</v>
      </c>
      <c r="C431" s="31" t="s">
        <v>473</v>
      </c>
      <c r="D431" s="31" t="s">
        <v>479</v>
      </c>
      <c r="E431" s="31" t="s">
        <v>472</v>
      </c>
      <c r="F431" s="31" t="str">
        <f>IF(H431=1,INDEX('Match Results'!$G$6:$G$185,MATCH(A431,'Match Results'!$A$6:$A$185,0)),INDEX('Match Results'!$H$6:$H$185,MATCH(A431,'Match Results'!$A$6:$A$185,0)))</f>
        <v>A4</v>
      </c>
      <c r="G431" s="31" t="str">
        <f>IF(H431=1,INDEX('Match Results'!$H$6:$H$185,MATCH(A431,'Match Results'!$A$6:$A$185,0)),INDEX('Match Results'!$G$6:$G$185,MATCH(A431,'Match Results'!$A$6:$A$185,0)))</f>
        <v>A2</v>
      </c>
      <c r="H431" s="31">
        <v>2</v>
      </c>
      <c r="I431" s="31">
        <v>4</v>
      </c>
      <c r="J431" s="32"/>
      <c r="K431" s="31" t="str">
        <f>IF(J431="","",IFERROR(INDEX('Team Rosters'!$C$6:$C$205,MATCH(J431,'Team Rosters'!$B$6:$B$205,0)),"CODE NOT FOUND"))</f>
        <v/>
      </c>
      <c r="L431" s="31" t="str">
        <f t="shared" si="18"/>
        <v/>
      </c>
      <c r="M431" s="31" t="str">
        <f>IF(OR(J431="",C431&lt;&gt;"League",L431&lt;&gt;"VALID"),"",COUNTIFS($J$6:J431,J431,$G$6:G431,G431,$C$6:C431,"League"))</f>
        <v/>
      </c>
      <c r="N431" s="31" t="str">
        <f t="shared" si="19"/>
        <v/>
      </c>
      <c r="O431" s="37" t="str">
        <f t="shared" si="20"/>
        <v/>
      </c>
    </row>
    <row r="432" spans="1:15" ht="15">
      <c r="A432" s="30">
        <v>90</v>
      </c>
      <c r="B432" s="31" t="s">
        <v>499</v>
      </c>
      <c r="C432" s="31" t="s">
        <v>473</v>
      </c>
      <c r="D432" s="31" t="s">
        <v>479</v>
      </c>
      <c r="E432" s="31" t="s">
        <v>477</v>
      </c>
      <c r="F432" s="31" t="str">
        <f>IF(H432=1,INDEX('Match Results'!$G$6:$G$185,MATCH(A432,'Match Results'!$A$6:$A$185,0)),INDEX('Match Results'!$H$6:$H$185,MATCH(A432,'Match Results'!$A$6:$A$185,0)))</f>
        <v>B2</v>
      </c>
      <c r="G432" s="31" t="str">
        <f>IF(H432=1,INDEX('Match Results'!$H$6:$H$185,MATCH(A432,'Match Results'!$A$6:$A$185,0)),INDEX('Match Results'!$G$6:$G$185,MATCH(A432,'Match Results'!$A$6:$A$185,0)))</f>
        <v>B4</v>
      </c>
      <c r="H432" s="31">
        <v>1</v>
      </c>
      <c r="I432" s="31">
        <v>1</v>
      </c>
      <c r="J432" s="32"/>
      <c r="K432" s="31" t="str">
        <f>IF(J432="","",IFERROR(INDEX('Team Rosters'!$C$6:$C$205,MATCH(J432,'Team Rosters'!$B$6:$B$205,0)),"CODE NOT FOUND"))</f>
        <v/>
      </c>
      <c r="L432" s="31" t="str">
        <f t="shared" si="18"/>
        <v/>
      </c>
      <c r="M432" s="31" t="str">
        <f>IF(OR(J432="",C432&lt;&gt;"League",L432&lt;&gt;"VALID"),"",COUNTIFS($J$6:J432,J432,$G$6:G432,G432,$C$6:C432,"League"))</f>
        <v/>
      </c>
      <c r="N432" s="31" t="str">
        <f t="shared" si="19"/>
        <v/>
      </c>
      <c r="O432" s="37" t="str">
        <f t="shared" si="20"/>
        <v/>
      </c>
    </row>
    <row r="433" spans="1:15" ht="15">
      <c r="A433" s="30">
        <v>90</v>
      </c>
      <c r="B433" s="31" t="s">
        <v>499</v>
      </c>
      <c r="C433" s="31" t="s">
        <v>473</v>
      </c>
      <c r="D433" s="31" t="s">
        <v>479</v>
      </c>
      <c r="E433" s="31" t="s">
        <v>477</v>
      </c>
      <c r="F433" s="31" t="str">
        <f>IF(H433=1,INDEX('Match Results'!$G$6:$G$185,MATCH(A433,'Match Results'!$A$6:$A$185,0)),INDEX('Match Results'!$H$6:$H$185,MATCH(A433,'Match Results'!$A$6:$A$185,0)))</f>
        <v>B2</v>
      </c>
      <c r="G433" s="31" t="str">
        <f>IF(H433=1,INDEX('Match Results'!$H$6:$H$185,MATCH(A433,'Match Results'!$A$6:$A$185,0)),INDEX('Match Results'!$G$6:$G$185,MATCH(A433,'Match Results'!$A$6:$A$185,0)))</f>
        <v>B4</v>
      </c>
      <c r="H433" s="31">
        <v>1</v>
      </c>
      <c r="I433" s="31">
        <v>2</v>
      </c>
      <c r="J433" s="32"/>
      <c r="K433" s="31" t="str">
        <f>IF(J433="","",IFERROR(INDEX('Team Rosters'!$C$6:$C$205,MATCH(J433,'Team Rosters'!$B$6:$B$205,0)),"CODE NOT FOUND"))</f>
        <v/>
      </c>
      <c r="L433" s="31" t="str">
        <f t="shared" si="18"/>
        <v/>
      </c>
      <c r="M433" s="31" t="str">
        <f>IF(OR(J433="",C433&lt;&gt;"League",L433&lt;&gt;"VALID"),"",COUNTIFS($J$6:J433,J433,$G$6:G433,G433,$C$6:C433,"League"))</f>
        <v/>
      </c>
      <c r="N433" s="31" t="str">
        <f t="shared" si="19"/>
        <v/>
      </c>
      <c r="O433" s="37" t="str">
        <f t="shared" si="20"/>
        <v/>
      </c>
    </row>
    <row r="434" spans="1:15" ht="15">
      <c r="A434" s="30">
        <v>90</v>
      </c>
      <c r="B434" s="31" t="s">
        <v>499</v>
      </c>
      <c r="C434" s="31" t="s">
        <v>473</v>
      </c>
      <c r="D434" s="31" t="s">
        <v>479</v>
      </c>
      <c r="E434" s="31" t="s">
        <v>477</v>
      </c>
      <c r="F434" s="31" t="str">
        <f>IF(H434=1,INDEX('Match Results'!$G$6:$G$185,MATCH(A434,'Match Results'!$A$6:$A$185,0)),INDEX('Match Results'!$H$6:$H$185,MATCH(A434,'Match Results'!$A$6:$A$185,0)))</f>
        <v>B4</v>
      </c>
      <c r="G434" s="31" t="str">
        <f>IF(H434=1,INDEX('Match Results'!$H$6:$H$185,MATCH(A434,'Match Results'!$A$6:$A$185,0)),INDEX('Match Results'!$G$6:$G$185,MATCH(A434,'Match Results'!$A$6:$A$185,0)))</f>
        <v>B2</v>
      </c>
      <c r="H434" s="31">
        <v>2</v>
      </c>
      <c r="I434" s="31">
        <v>3</v>
      </c>
      <c r="J434" s="32"/>
      <c r="K434" s="31" t="str">
        <f>IF(J434="","",IFERROR(INDEX('Team Rosters'!$C$6:$C$205,MATCH(J434,'Team Rosters'!$B$6:$B$205,0)),"CODE NOT FOUND"))</f>
        <v/>
      </c>
      <c r="L434" s="31" t="str">
        <f t="shared" si="18"/>
        <v/>
      </c>
      <c r="M434" s="31" t="str">
        <f>IF(OR(J434="",C434&lt;&gt;"League",L434&lt;&gt;"VALID"),"",COUNTIFS($J$6:J434,J434,$G$6:G434,G434,$C$6:C434,"League"))</f>
        <v/>
      </c>
      <c r="N434" s="31" t="str">
        <f t="shared" si="19"/>
        <v/>
      </c>
      <c r="O434" s="37" t="str">
        <f t="shared" si="20"/>
        <v/>
      </c>
    </row>
    <row r="435" spans="1:15" ht="15">
      <c r="A435" s="30">
        <v>90</v>
      </c>
      <c r="B435" s="31" t="s">
        <v>499</v>
      </c>
      <c r="C435" s="31" t="s">
        <v>473</v>
      </c>
      <c r="D435" s="31" t="s">
        <v>479</v>
      </c>
      <c r="E435" s="31" t="s">
        <v>477</v>
      </c>
      <c r="F435" s="31" t="str">
        <f>IF(H435=1,INDEX('Match Results'!$G$6:$G$185,MATCH(A435,'Match Results'!$A$6:$A$185,0)),INDEX('Match Results'!$H$6:$H$185,MATCH(A435,'Match Results'!$A$6:$A$185,0)))</f>
        <v>B4</v>
      </c>
      <c r="G435" s="31" t="str">
        <f>IF(H435=1,INDEX('Match Results'!$H$6:$H$185,MATCH(A435,'Match Results'!$A$6:$A$185,0)),INDEX('Match Results'!$G$6:$G$185,MATCH(A435,'Match Results'!$A$6:$A$185,0)))</f>
        <v>B2</v>
      </c>
      <c r="H435" s="31">
        <v>2</v>
      </c>
      <c r="I435" s="31">
        <v>4</v>
      </c>
      <c r="J435" s="32"/>
      <c r="K435" s="31" t="str">
        <f>IF(J435="","",IFERROR(INDEX('Team Rosters'!$C$6:$C$205,MATCH(J435,'Team Rosters'!$B$6:$B$205,0)),"CODE NOT FOUND"))</f>
        <v/>
      </c>
      <c r="L435" s="31" t="str">
        <f t="shared" si="18"/>
        <v/>
      </c>
      <c r="M435" s="31" t="str">
        <f>IF(OR(J435="",C435&lt;&gt;"League",L435&lt;&gt;"VALID"),"",COUNTIFS($J$6:J435,J435,$G$6:G435,G435,$C$6:C435,"League"))</f>
        <v/>
      </c>
      <c r="N435" s="31" t="str">
        <f t="shared" si="19"/>
        <v/>
      </c>
      <c r="O435" s="37" t="str">
        <f t="shared" si="20"/>
        <v/>
      </c>
    </row>
    <row r="436" spans="1:15" ht="15">
      <c r="A436" s="30">
        <v>91</v>
      </c>
      <c r="B436" s="31" t="s">
        <v>499</v>
      </c>
      <c r="C436" s="31" t="s">
        <v>473</v>
      </c>
      <c r="D436" s="31" t="s">
        <v>483</v>
      </c>
      <c r="E436" s="31" t="s">
        <v>477</v>
      </c>
      <c r="F436" s="31" t="str">
        <f>IF(H436=1,INDEX('Match Results'!$G$6:$G$185,MATCH(A436,'Match Results'!$A$6:$A$185,0)),INDEX('Match Results'!$H$6:$H$185,MATCH(A436,'Match Results'!$A$6:$A$185,0)))</f>
        <v>A1</v>
      </c>
      <c r="G436" s="31" t="str">
        <f>IF(H436=1,INDEX('Match Results'!$H$6:$H$185,MATCH(A436,'Match Results'!$A$6:$A$185,0)),INDEX('Match Results'!$G$6:$G$185,MATCH(A436,'Match Results'!$A$6:$A$185,0)))</f>
        <v>A2</v>
      </c>
      <c r="H436" s="31">
        <v>1</v>
      </c>
      <c r="I436" s="31">
        <v>1</v>
      </c>
      <c r="J436" s="32"/>
      <c r="K436" s="31" t="str">
        <f>IF(J436="","",IFERROR(INDEX('Team Rosters'!$C$6:$C$205,MATCH(J436,'Team Rosters'!$B$6:$B$205,0)),"CODE NOT FOUND"))</f>
        <v/>
      </c>
      <c r="L436" s="31" t="str">
        <f t="shared" si="18"/>
        <v/>
      </c>
      <c r="M436" s="31" t="str">
        <f>IF(OR(J436="",C436&lt;&gt;"League",L436&lt;&gt;"VALID"),"",COUNTIFS($J$6:J436,J436,$G$6:G436,G436,$C$6:C436,"League"))</f>
        <v/>
      </c>
      <c r="N436" s="31" t="str">
        <f t="shared" si="19"/>
        <v/>
      </c>
      <c r="O436" s="37" t="str">
        <f t="shared" si="20"/>
        <v/>
      </c>
    </row>
    <row r="437" spans="1:15" ht="15">
      <c r="A437" s="30">
        <v>91</v>
      </c>
      <c r="B437" s="31" t="s">
        <v>499</v>
      </c>
      <c r="C437" s="31" t="s">
        <v>473</v>
      </c>
      <c r="D437" s="31" t="s">
        <v>483</v>
      </c>
      <c r="E437" s="31" t="s">
        <v>477</v>
      </c>
      <c r="F437" s="31" t="str">
        <f>IF(H437=1,INDEX('Match Results'!$G$6:$G$185,MATCH(A437,'Match Results'!$A$6:$A$185,0)),INDEX('Match Results'!$H$6:$H$185,MATCH(A437,'Match Results'!$A$6:$A$185,0)))</f>
        <v>A1</v>
      </c>
      <c r="G437" s="31" t="str">
        <f>IF(H437=1,INDEX('Match Results'!$H$6:$H$185,MATCH(A437,'Match Results'!$A$6:$A$185,0)),INDEX('Match Results'!$G$6:$G$185,MATCH(A437,'Match Results'!$A$6:$A$185,0)))</f>
        <v>A2</v>
      </c>
      <c r="H437" s="31">
        <v>1</v>
      </c>
      <c r="I437" s="31">
        <v>2</v>
      </c>
      <c r="J437" s="32"/>
      <c r="K437" s="31" t="str">
        <f>IF(J437="","",IFERROR(INDEX('Team Rosters'!$C$6:$C$205,MATCH(J437,'Team Rosters'!$B$6:$B$205,0)),"CODE NOT FOUND"))</f>
        <v/>
      </c>
      <c r="L437" s="31" t="str">
        <f t="shared" si="18"/>
        <v/>
      </c>
      <c r="M437" s="31" t="str">
        <f>IF(OR(J437="",C437&lt;&gt;"League",L437&lt;&gt;"VALID"),"",COUNTIFS($J$6:J437,J437,$G$6:G437,G437,$C$6:C437,"League"))</f>
        <v/>
      </c>
      <c r="N437" s="31" t="str">
        <f t="shared" si="19"/>
        <v/>
      </c>
      <c r="O437" s="37" t="str">
        <f t="shared" si="20"/>
        <v/>
      </c>
    </row>
    <row r="438" spans="1:15" ht="15">
      <c r="A438" s="30">
        <v>91</v>
      </c>
      <c r="B438" s="31" t="s">
        <v>499</v>
      </c>
      <c r="C438" s="31" t="s">
        <v>473</v>
      </c>
      <c r="D438" s="31" t="s">
        <v>483</v>
      </c>
      <c r="E438" s="31" t="s">
        <v>477</v>
      </c>
      <c r="F438" s="31" t="str">
        <f>IF(H438=1,INDEX('Match Results'!$G$6:$G$185,MATCH(A438,'Match Results'!$A$6:$A$185,0)),INDEX('Match Results'!$H$6:$H$185,MATCH(A438,'Match Results'!$A$6:$A$185,0)))</f>
        <v>A2</v>
      </c>
      <c r="G438" s="31" t="str">
        <f>IF(H438=1,INDEX('Match Results'!$H$6:$H$185,MATCH(A438,'Match Results'!$A$6:$A$185,0)),INDEX('Match Results'!$G$6:$G$185,MATCH(A438,'Match Results'!$A$6:$A$185,0)))</f>
        <v>A1</v>
      </c>
      <c r="H438" s="31">
        <v>2</v>
      </c>
      <c r="I438" s="31">
        <v>3</v>
      </c>
      <c r="J438" s="32"/>
      <c r="K438" s="31" t="str">
        <f>IF(J438="","",IFERROR(INDEX('Team Rosters'!$C$6:$C$205,MATCH(J438,'Team Rosters'!$B$6:$B$205,0)),"CODE NOT FOUND"))</f>
        <v/>
      </c>
      <c r="L438" s="31" t="str">
        <f t="shared" si="18"/>
        <v/>
      </c>
      <c r="M438" s="31" t="str">
        <f>IF(OR(J438="",C438&lt;&gt;"League",L438&lt;&gt;"VALID"),"",COUNTIFS($J$6:J438,J438,$G$6:G438,G438,$C$6:C438,"League"))</f>
        <v/>
      </c>
      <c r="N438" s="31" t="str">
        <f t="shared" si="19"/>
        <v/>
      </c>
      <c r="O438" s="37" t="str">
        <f t="shared" si="20"/>
        <v/>
      </c>
    </row>
    <row r="439" spans="1:15" ht="15">
      <c r="A439" s="30">
        <v>91</v>
      </c>
      <c r="B439" s="31" t="s">
        <v>499</v>
      </c>
      <c r="C439" s="31" t="s">
        <v>473</v>
      </c>
      <c r="D439" s="31" t="s">
        <v>483</v>
      </c>
      <c r="E439" s="31" t="s">
        <v>477</v>
      </c>
      <c r="F439" s="31" t="str">
        <f>IF(H439=1,INDEX('Match Results'!$G$6:$G$185,MATCH(A439,'Match Results'!$A$6:$A$185,0)),INDEX('Match Results'!$H$6:$H$185,MATCH(A439,'Match Results'!$A$6:$A$185,0)))</f>
        <v>A2</v>
      </c>
      <c r="G439" s="31" t="str">
        <f>IF(H439=1,INDEX('Match Results'!$H$6:$H$185,MATCH(A439,'Match Results'!$A$6:$A$185,0)),INDEX('Match Results'!$G$6:$G$185,MATCH(A439,'Match Results'!$A$6:$A$185,0)))</f>
        <v>A1</v>
      </c>
      <c r="H439" s="31">
        <v>2</v>
      </c>
      <c r="I439" s="31">
        <v>4</v>
      </c>
      <c r="J439" s="32"/>
      <c r="K439" s="31" t="str">
        <f>IF(J439="","",IFERROR(INDEX('Team Rosters'!$C$6:$C$205,MATCH(J439,'Team Rosters'!$B$6:$B$205,0)),"CODE NOT FOUND"))</f>
        <v/>
      </c>
      <c r="L439" s="31" t="str">
        <f t="shared" si="18"/>
        <v/>
      </c>
      <c r="M439" s="31" t="str">
        <f>IF(OR(J439="",C439&lt;&gt;"League",L439&lt;&gt;"VALID"),"",COUNTIFS($J$6:J439,J439,$G$6:G439,G439,$C$6:C439,"League"))</f>
        <v/>
      </c>
      <c r="N439" s="31" t="str">
        <f t="shared" si="19"/>
        <v/>
      </c>
      <c r="O439" s="37" t="str">
        <f t="shared" si="20"/>
        <v/>
      </c>
    </row>
    <row r="440" spans="1:15" ht="15">
      <c r="A440" s="30">
        <v>92</v>
      </c>
      <c r="B440" s="31" t="s">
        <v>499</v>
      </c>
      <c r="C440" s="31" t="s">
        <v>473</v>
      </c>
      <c r="D440" s="31" t="s">
        <v>483</v>
      </c>
      <c r="E440" s="31" t="s">
        <v>472</v>
      </c>
      <c r="F440" s="31" t="str">
        <f>IF(H440=1,INDEX('Match Results'!$G$6:$G$185,MATCH(A440,'Match Results'!$A$6:$A$185,0)),INDEX('Match Results'!$H$6:$H$185,MATCH(A440,'Match Results'!$A$6:$A$185,0)))</f>
        <v>B1</v>
      </c>
      <c r="G440" s="31" t="str">
        <f>IF(H440=1,INDEX('Match Results'!$H$6:$H$185,MATCH(A440,'Match Results'!$A$6:$A$185,0)),INDEX('Match Results'!$G$6:$G$185,MATCH(A440,'Match Results'!$A$6:$A$185,0)))</f>
        <v>B3</v>
      </c>
      <c r="H440" s="31">
        <v>1</v>
      </c>
      <c r="I440" s="31">
        <v>1</v>
      </c>
      <c r="J440" s="32"/>
      <c r="K440" s="31" t="str">
        <f>IF(J440="","",IFERROR(INDEX('Team Rosters'!$C$6:$C$205,MATCH(J440,'Team Rosters'!$B$6:$B$205,0)),"CODE NOT FOUND"))</f>
        <v/>
      </c>
      <c r="L440" s="31" t="str">
        <f t="shared" si="18"/>
        <v/>
      </c>
      <c r="M440" s="31" t="str">
        <f>IF(OR(J440="",C440&lt;&gt;"League",L440&lt;&gt;"VALID"),"",COUNTIFS($J$6:J440,J440,$G$6:G440,G440,$C$6:C440,"League"))</f>
        <v/>
      </c>
      <c r="N440" s="31" t="str">
        <f t="shared" si="19"/>
        <v/>
      </c>
      <c r="O440" s="37" t="str">
        <f t="shared" si="20"/>
        <v/>
      </c>
    </row>
    <row r="441" spans="1:15" ht="15">
      <c r="A441" s="30">
        <v>92</v>
      </c>
      <c r="B441" s="31" t="s">
        <v>499</v>
      </c>
      <c r="C441" s="31" t="s">
        <v>473</v>
      </c>
      <c r="D441" s="31" t="s">
        <v>483</v>
      </c>
      <c r="E441" s="31" t="s">
        <v>472</v>
      </c>
      <c r="F441" s="31" t="str">
        <f>IF(H441=1,INDEX('Match Results'!$G$6:$G$185,MATCH(A441,'Match Results'!$A$6:$A$185,0)),INDEX('Match Results'!$H$6:$H$185,MATCH(A441,'Match Results'!$A$6:$A$185,0)))</f>
        <v>B1</v>
      </c>
      <c r="G441" s="31" t="str">
        <f>IF(H441=1,INDEX('Match Results'!$H$6:$H$185,MATCH(A441,'Match Results'!$A$6:$A$185,0)),INDEX('Match Results'!$G$6:$G$185,MATCH(A441,'Match Results'!$A$6:$A$185,0)))</f>
        <v>B3</v>
      </c>
      <c r="H441" s="31">
        <v>1</v>
      </c>
      <c r="I441" s="31">
        <v>2</v>
      </c>
      <c r="J441" s="32"/>
      <c r="K441" s="31" t="str">
        <f>IF(J441="","",IFERROR(INDEX('Team Rosters'!$C$6:$C$205,MATCH(J441,'Team Rosters'!$B$6:$B$205,0)),"CODE NOT FOUND"))</f>
        <v/>
      </c>
      <c r="L441" s="31" t="str">
        <f t="shared" si="18"/>
        <v/>
      </c>
      <c r="M441" s="31" t="str">
        <f>IF(OR(J441="",C441&lt;&gt;"League",L441&lt;&gt;"VALID"),"",COUNTIFS($J$6:J441,J441,$G$6:G441,G441,$C$6:C441,"League"))</f>
        <v/>
      </c>
      <c r="N441" s="31" t="str">
        <f t="shared" si="19"/>
        <v/>
      </c>
      <c r="O441" s="37" t="str">
        <f t="shared" si="20"/>
        <v/>
      </c>
    </row>
    <row r="442" spans="1:15" ht="15">
      <c r="A442" s="30">
        <v>92</v>
      </c>
      <c r="B442" s="31" t="s">
        <v>499</v>
      </c>
      <c r="C442" s="31" t="s">
        <v>473</v>
      </c>
      <c r="D442" s="31" t="s">
        <v>483</v>
      </c>
      <c r="E442" s="31" t="s">
        <v>472</v>
      </c>
      <c r="F442" s="31" t="str">
        <f>IF(H442=1,INDEX('Match Results'!$G$6:$G$185,MATCH(A442,'Match Results'!$A$6:$A$185,0)),INDEX('Match Results'!$H$6:$H$185,MATCH(A442,'Match Results'!$A$6:$A$185,0)))</f>
        <v>B3</v>
      </c>
      <c r="G442" s="31" t="str">
        <f>IF(H442=1,INDEX('Match Results'!$H$6:$H$185,MATCH(A442,'Match Results'!$A$6:$A$185,0)),INDEX('Match Results'!$G$6:$G$185,MATCH(A442,'Match Results'!$A$6:$A$185,0)))</f>
        <v>B1</v>
      </c>
      <c r="H442" s="31">
        <v>2</v>
      </c>
      <c r="I442" s="31">
        <v>3</v>
      </c>
      <c r="J442" s="32"/>
      <c r="K442" s="31" t="str">
        <f>IF(J442="","",IFERROR(INDEX('Team Rosters'!$C$6:$C$205,MATCH(J442,'Team Rosters'!$B$6:$B$205,0)),"CODE NOT FOUND"))</f>
        <v/>
      </c>
      <c r="L442" s="31" t="str">
        <f t="shared" si="18"/>
        <v/>
      </c>
      <c r="M442" s="31" t="str">
        <f>IF(OR(J442="",C442&lt;&gt;"League",L442&lt;&gt;"VALID"),"",COUNTIFS($J$6:J442,J442,$G$6:G442,G442,$C$6:C442,"League"))</f>
        <v/>
      </c>
      <c r="N442" s="31" t="str">
        <f t="shared" si="19"/>
        <v/>
      </c>
      <c r="O442" s="37" t="str">
        <f t="shared" si="20"/>
        <v/>
      </c>
    </row>
    <row r="443" spans="1:15" ht="15">
      <c r="A443" s="30">
        <v>92</v>
      </c>
      <c r="B443" s="31" t="s">
        <v>499</v>
      </c>
      <c r="C443" s="31" t="s">
        <v>473</v>
      </c>
      <c r="D443" s="31" t="s">
        <v>483</v>
      </c>
      <c r="E443" s="31" t="s">
        <v>472</v>
      </c>
      <c r="F443" s="31" t="str">
        <f>IF(H443=1,INDEX('Match Results'!$G$6:$G$185,MATCH(A443,'Match Results'!$A$6:$A$185,0)),INDEX('Match Results'!$H$6:$H$185,MATCH(A443,'Match Results'!$A$6:$A$185,0)))</f>
        <v>B3</v>
      </c>
      <c r="G443" s="31" t="str">
        <f>IF(H443=1,INDEX('Match Results'!$H$6:$H$185,MATCH(A443,'Match Results'!$A$6:$A$185,0)),INDEX('Match Results'!$G$6:$G$185,MATCH(A443,'Match Results'!$A$6:$A$185,0)))</f>
        <v>B1</v>
      </c>
      <c r="H443" s="31">
        <v>2</v>
      </c>
      <c r="I443" s="31">
        <v>4</v>
      </c>
      <c r="J443" s="32"/>
      <c r="K443" s="31" t="str">
        <f>IF(J443="","",IFERROR(INDEX('Team Rosters'!$C$6:$C$205,MATCH(J443,'Team Rosters'!$B$6:$B$205,0)),"CODE NOT FOUND"))</f>
        <v/>
      </c>
      <c r="L443" s="31" t="str">
        <f t="shared" si="18"/>
        <v/>
      </c>
      <c r="M443" s="31" t="str">
        <f>IF(OR(J443="",C443&lt;&gt;"League",L443&lt;&gt;"VALID"),"",COUNTIFS($J$6:J443,J443,$G$6:G443,G443,$C$6:C443,"League"))</f>
        <v/>
      </c>
      <c r="N443" s="31" t="str">
        <f t="shared" si="19"/>
        <v/>
      </c>
      <c r="O443" s="37" t="str">
        <f t="shared" si="20"/>
        <v/>
      </c>
    </row>
    <row r="444" spans="1:15" ht="15">
      <c r="A444" s="30">
        <v>93</v>
      </c>
      <c r="B444" s="31" t="s">
        <v>499</v>
      </c>
      <c r="C444" s="31" t="s">
        <v>473</v>
      </c>
      <c r="D444" s="31" t="s">
        <v>486</v>
      </c>
      <c r="E444" s="31" t="s">
        <v>472</v>
      </c>
      <c r="F444" s="31" t="str">
        <f>IF(H444=1,INDEX('Match Results'!$G$6:$G$185,MATCH(A444,'Match Results'!$A$6:$A$185,0)),INDEX('Match Results'!$H$6:$H$185,MATCH(A444,'Match Results'!$A$6:$A$185,0)))</f>
        <v>A3</v>
      </c>
      <c r="G444" s="31" t="str">
        <f>IF(H444=1,INDEX('Match Results'!$H$6:$H$185,MATCH(A444,'Match Results'!$A$6:$A$185,0)),INDEX('Match Results'!$G$6:$G$185,MATCH(A444,'Match Results'!$A$6:$A$185,0)))</f>
        <v>A4</v>
      </c>
      <c r="H444" s="31">
        <v>1</v>
      </c>
      <c r="I444" s="31">
        <v>1</v>
      </c>
      <c r="J444" s="32"/>
      <c r="K444" s="31" t="str">
        <f>IF(J444="","",IFERROR(INDEX('Team Rosters'!$C$6:$C$205,MATCH(J444,'Team Rosters'!$B$6:$B$205,0)),"CODE NOT FOUND"))</f>
        <v/>
      </c>
      <c r="L444" s="31" t="str">
        <f>IF(J444="","",IF(AND(K444&lt;&gt;"",K444&lt;&gt;"CODE NOT FOUND",LEFT(J444,2)=F444),"VALID","CHECK ROSTER"))</f>
        <v/>
      </c>
      <c r="M444" s="31" t="str">
        <f>IF(OR(J444="",C444&lt;&gt;"League",L444&lt;&gt;"VALID"),"",COUNTIFS($J$6:J444,J444,$G$6:G444,G444,$C$6:C444,"League"))</f>
        <v/>
      </c>
      <c r="N444" s="31" t="str">
        <f>IF(J444="","",IF(L444&lt;&gt;"VALID","CHECK ROSTER",IF(C444&lt;&gt;"League","NOT APPLICABLE",IF(M444&lt;=2,"OK","VIOLATION"))))</f>
        <v/>
      </c>
      <c r="O444" s="37" t="str">
        <f>IF(N444="VIOLATION",K444&amp;" has played "&amp;M444&amp;" league matches against "&amp;G444&amp;"; limit is 2.","")</f>
        <v/>
      </c>
    </row>
    <row r="445" spans="1:15" ht="15">
      <c r="A445" s="30">
        <v>93</v>
      </c>
      <c r="B445" s="31" t="s">
        <v>499</v>
      </c>
      <c r="C445" s="31" t="s">
        <v>473</v>
      </c>
      <c r="D445" s="31" t="s">
        <v>486</v>
      </c>
      <c r="E445" s="31" t="s">
        <v>472</v>
      </c>
      <c r="F445" s="31" t="str">
        <f>IF(H445=1,INDEX('Match Results'!$G$6:$G$185,MATCH(A445,'Match Results'!$A$6:$A$185,0)),INDEX('Match Results'!$H$6:$H$185,MATCH(A445,'Match Results'!$A$6:$A$185,0)))</f>
        <v>A3</v>
      </c>
      <c r="G445" s="31" t="str">
        <f>IF(H445=1,INDEX('Match Results'!$H$6:$H$185,MATCH(A445,'Match Results'!$A$6:$A$185,0)),INDEX('Match Results'!$G$6:$G$185,MATCH(A445,'Match Results'!$A$6:$A$185,0)))</f>
        <v>A4</v>
      </c>
      <c r="H445" s="31">
        <v>1</v>
      </c>
      <c r="I445" s="31">
        <v>2</v>
      </c>
      <c r="J445" s="32"/>
      <c r="K445" s="31" t="str">
        <f>IF(J445="","",IFERROR(INDEX('Team Rosters'!$C$6:$C$205,MATCH(J445,'Team Rosters'!$B$6:$B$205,0)),"CODE NOT FOUND"))</f>
        <v/>
      </c>
      <c r="L445" s="31" t="str">
        <f t="shared" si="18"/>
        <v/>
      </c>
      <c r="M445" s="31" t="str">
        <f>IF(OR(J445="",C445&lt;&gt;"League",L445&lt;&gt;"VALID"),"",COUNTIFS($J$6:J445,J445,$G$6:G445,G445,$C$6:C445,"League"))</f>
        <v/>
      </c>
      <c r="N445" s="31" t="str">
        <f t="shared" si="19"/>
        <v/>
      </c>
      <c r="O445" s="37" t="str">
        <f t="shared" si="20"/>
        <v/>
      </c>
    </row>
    <row r="446" spans="1:15" ht="15">
      <c r="A446" s="30">
        <v>93</v>
      </c>
      <c r="B446" s="31" t="s">
        <v>499</v>
      </c>
      <c r="C446" s="31" t="s">
        <v>473</v>
      </c>
      <c r="D446" s="31" t="s">
        <v>486</v>
      </c>
      <c r="E446" s="31" t="s">
        <v>472</v>
      </c>
      <c r="F446" s="31" t="str">
        <f>IF(H446=1,INDEX('Match Results'!$G$6:$G$185,MATCH(A446,'Match Results'!$A$6:$A$185,0)),INDEX('Match Results'!$H$6:$H$185,MATCH(A446,'Match Results'!$A$6:$A$185,0)))</f>
        <v>A4</v>
      </c>
      <c r="G446" s="31" t="str">
        <f>IF(H446=1,INDEX('Match Results'!$H$6:$H$185,MATCH(A446,'Match Results'!$A$6:$A$185,0)),INDEX('Match Results'!$G$6:$G$185,MATCH(A446,'Match Results'!$A$6:$A$185,0)))</f>
        <v>A3</v>
      </c>
      <c r="H446" s="31">
        <v>2</v>
      </c>
      <c r="I446" s="31">
        <v>3</v>
      </c>
      <c r="J446" s="32"/>
      <c r="K446" s="31" t="str">
        <f>IF(J446="","",IFERROR(INDEX('Team Rosters'!$C$6:$C$205,MATCH(J446,'Team Rosters'!$B$6:$B$205,0)),"CODE NOT FOUND"))</f>
        <v/>
      </c>
      <c r="L446" s="31" t="str">
        <f t="shared" si="18"/>
        <v/>
      </c>
      <c r="M446" s="31" t="str">
        <f>IF(OR(J446="",C446&lt;&gt;"League",L446&lt;&gt;"VALID"),"",COUNTIFS($J$6:J446,J446,$G$6:G446,G446,$C$6:C446,"League"))</f>
        <v/>
      </c>
      <c r="N446" s="31" t="str">
        <f t="shared" si="19"/>
        <v/>
      </c>
      <c r="O446" s="37" t="str">
        <f t="shared" si="20"/>
        <v/>
      </c>
    </row>
    <row r="447" spans="1:15" ht="15">
      <c r="A447" s="30">
        <v>93</v>
      </c>
      <c r="B447" s="31" t="s">
        <v>499</v>
      </c>
      <c r="C447" s="31" t="s">
        <v>473</v>
      </c>
      <c r="D447" s="31" t="s">
        <v>486</v>
      </c>
      <c r="E447" s="31" t="s">
        <v>472</v>
      </c>
      <c r="F447" s="31" t="str">
        <f>IF(H447=1,INDEX('Match Results'!$G$6:$G$185,MATCH(A447,'Match Results'!$A$6:$A$185,0)),INDEX('Match Results'!$H$6:$H$185,MATCH(A447,'Match Results'!$A$6:$A$185,0)))</f>
        <v>A4</v>
      </c>
      <c r="G447" s="31" t="str">
        <f>IF(H447=1,INDEX('Match Results'!$H$6:$H$185,MATCH(A447,'Match Results'!$A$6:$A$185,0)),INDEX('Match Results'!$G$6:$G$185,MATCH(A447,'Match Results'!$A$6:$A$185,0)))</f>
        <v>A3</v>
      </c>
      <c r="H447" s="31">
        <v>2</v>
      </c>
      <c r="I447" s="31">
        <v>4</v>
      </c>
      <c r="J447" s="32"/>
      <c r="K447" s="31" t="str">
        <f>IF(J447="","",IFERROR(INDEX('Team Rosters'!$C$6:$C$205,MATCH(J447,'Team Rosters'!$B$6:$B$205,0)),"CODE NOT FOUND"))</f>
        <v/>
      </c>
      <c r="L447" s="31" t="str">
        <f t="shared" si="18"/>
        <v/>
      </c>
      <c r="M447" s="31" t="str">
        <f>IF(OR(J447="",C447&lt;&gt;"League",L447&lt;&gt;"VALID"),"",COUNTIFS($J$6:J447,J447,$G$6:G447,G447,$C$6:C447,"League"))</f>
        <v/>
      </c>
      <c r="N447" s="31" t="str">
        <f t="shared" si="19"/>
        <v/>
      </c>
      <c r="O447" s="37" t="str">
        <f t="shared" si="20"/>
        <v/>
      </c>
    </row>
    <row r="448" spans="1:15" ht="15">
      <c r="A448" s="30">
        <v>94</v>
      </c>
      <c r="B448" s="31" t="s">
        <v>499</v>
      </c>
      <c r="C448" s="31" t="s">
        <v>473</v>
      </c>
      <c r="D448" s="31" t="s">
        <v>486</v>
      </c>
      <c r="E448" s="31" t="s">
        <v>475</v>
      </c>
      <c r="F448" s="31" t="str">
        <f>IF(H448=1,INDEX('Match Results'!$G$6:$G$185,MATCH(A448,'Match Results'!$A$6:$A$185,0)),INDEX('Match Results'!$H$6:$H$185,MATCH(A448,'Match Results'!$A$6:$A$185,0)))</f>
        <v>B1</v>
      </c>
      <c r="G448" s="31" t="str">
        <f>IF(H448=1,INDEX('Match Results'!$H$6:$H$185,MATCH(A448,'Match Results'!$A$6:$A$185,0)),INDEX('Match Results'!$G$6:$G$185,MATCH(A448,'Match Results'!$A$6:$A$185,0)))</f>
        <v>B4</v>
      </c>
      <c r="H448" s="31">
        <v>1</v>
      </c>
      <c r="I448" s="31">
        <v>1</v>
      </c>
      <c r="J448" s="32"/>
      <c r="K448" s="31" t="str">
        <f>IF(J448="","",IFERROR(INDEX('Team Rosters'!$C$6:$C$205,MATCH(J448,'Team Rosters'!$B$6:$B$205,0)),"CODE NOT FOUND"))</f>
        <v/>
      </c>
      <c r="L448" s="31" t="str">
        <f t="shared" si="18"/>
        <v/>
      </c>
      <c r="M448" s="31" t="str">
        <f>IF(OR(J448="",C448&lt;&gt;"League",L448&lt;&gt;"VALID"),"",COUNTIFS($J$6:J448,J448,$G$6:G448,G448,$C$6:C448,"League"))</f>
        <v/>
      </c>
      <c r="N448" s="31" t="str">
        <f t="shared" si="19"/>
        <v/>
      </c>
      <c r="O448" s="37" t="str">
        <f t="shared" si="20"/>
        <v/>
      </c>
    </row>
    <row r="449" spans="1:15" ht="15">
      <c r="A449" s="30">
        <v>94</v>
      </c>
      <c r="B449" s="31" t="s">
        <v>499</v>
      </c>
      <c r="C449" s="31" t="s">
        <v>473</v>
      </c>
      <c r="D449" s="31" t="s">
        <v>486</v>
      </c>
      <c r="E449" s="31" t="s">
        <v>475</v>
      </c>
      <c r="F449" s="31" t="str">
        <f>IF(H449=1,INDEX('Match Results'!$G$6:$G$185,MATCH(A449,'Match Results'!$A$6:$A$185,0)),INDEX('Match Results'!$H$6:$H$185,MATCH(A449,'Match Results'!$A$6:$A$185,0)))</f>
        <v>B1</v>
      </c>
      <c r="G449" s="31" t="str">
        <f>IF(H449=1,INDEX('Match Results'!$H$6:$H$185,MATCH(A449,'Match Results'!$A$6:$A$185,0)),INDEX('Match Results'!$G$6:$G$185,MATCH(A449,'Match Results'!$A$6:$A$185,0)))</f>
        <v>B4</v>
      </c>
      <c r="H449" s="31">
        <v>1</v>
      </c>
      <c r="I449" s="31">
        <v>2</v>
      </c>
      <c r="J449" s="32"/>
      <c r="K449" s="31" t="str">
        <f>IF(J449="","",IFERROR(INDEX('Team Rosters'!$C$6:$C$205,MATCH(J449,'Team Rosters'!$B$6:$B$205,0)),"CODE NOT FOUND"))</f>
        <v/>
      </c>
      <c r="L449" s="31" t="str">
        <f t="shared" si="18"/>
        <v/>
      </c>
      <c r="M449" s="31" t="str">
        <f>IF(OR(J449="",C449&lt;&gt;"League",L449&lt;&gt;"VALID"),"",COUNTIFS($J$6:J449,J449,$G$6:G449,G449,$C$6:C449,"League"))</f>
        <v/>
      </c>
      <c r="N449" s="31" t="str">
        <f t="shared" si="19"/>
        <v/>
      </c>
      <c r="O449" s="37" t="str">
        <f t="shared" si="20"/>
        <v/>
      </c>
    </row>
    <row r="450" spans="1:15" ht="15">
      <c r="A450" s="30">
        <v>94</v>
      </c>
      <c r="B450" s="31" t="s">
        <v>499</v>
      </c>
      <c r="C450" s="31" t="s">
        <v>473</v>
      </c>
      <c r="D450" s="31" t="s">
        <v>486</v>
      </c>
      <c r="E450" s="31" t="s">
        <v>475</v>
      </c>
      <c r="F450" s="31" t="str">
        <f>IF(H450=1,INDEX('Match Results'!$G$6:$G$185,MATCH(A450,'Match Results'!$A$6:$A$185,0)),INDEX('Match Results'!$H$6:$H$185,MATCH(A450,'Match Results'!$A$6:$A$185,0)))</f>
        <v>B4</v>
      </c>
      <c r="G450" s="31" t="str">
        <f>IF(H450=1,INDEX('Match Results'!$H$6:$H$185,MATCH(A450,'Match Results'!$A$6:$A$185,0)),INDEX('Match Results'!$G$6:$G$185,MATCH(A450,'Match Results'!$A$6:$A$185,0)))</f>
        <v>B1</v>
      </c>
      <c r="H450" s="31">
        <v>2</v>
      </c>
      <c r="I450" s="31">
        <v>3</v>
      </c>
      <c r="J450" s="32"/>
      <c r="K450" s="31" t="str">
        <f>IF(J450="","",IFERROR(INDEX('Team Rosters'!$C$6:$C$205,MATCH(J450,'Team Rosters'!$B$6:$B$205,0)),"CODE NOT FOUND"))</f>
        <v/>
      </c>
      <c r="L450" s="31" t="str">
        <f t="shared" si="18"/>
        <v/>
      </c>
      <c r="M450" s="31" t="str">
        <f>IF(OR(J450="",C450&lt;&gt;"League",L450&lt;&gt;"VALID"),"",COUNTIFS($J$6:J450,J450,$G$6:G450,G450,$C$6:C450,"League"))</f>
        <v/>
      </c>
      <c r="N450" s="31" t="str">
        <f t="shared" si="19"/>
        <v/>
      </c>
      <c r="O450" s="37" t="str">
        <f t="shared" si="20"/>
        <v/>
      </c>
    </row>
    <row r="451" spans="1:15" ht="15">
      <c r="A451" s="30">
        <v>94</v>
      </c>
      <c r="B451" s="31" t="s">
        <v>499</v>
      </c>
      <c r="C451" s="31" t="s">
        <v>473</v>
      </c>
      <c r="D451" s="31" t="s">
        <v>486</v>
      </c>
      <c r="E451" s="31" t="s">
        <v>475</v>
      </c>
      <c r="F451" s="31" t="str">
        <f>IF(H451=1,INDEX('Match Results'!$G$6:$G$185,MATCH(A451,'Match Results'!$A$6:$A$185,0)),INDEX('Match Results'!$H$6:$H$185,MATCH(A451,'Match Results'!$A$6:$A$185,0)))</f>
        <v>B4</v>
      </c>
      <c r="G451" s="31" t="str">
        <f>IF(H451=1,INDEX('Match Results'!$H$6:$H$185,MATCH(A451,'Match Results'!$A$6:$A$185,0)),INDEX('Match Results'!$G$6:$G$185,MATCH(A451,'Match Results'!$A$6:$A$185,0)))</f>
        <v>B1</v>
      </c>
      <c r="H451" s="31">
        <v>2</v>
      </c>
      <c r="I451" s="31">
        <v>4</v>
      </c>
      <c r="J451" s="32"/>
      <c r="K451" s="31" t="str">
        <f>IF(J451="","",IFERROR(INDEX('Team Rosters'!$C$6:$C$205,MATCH(J451,'Team Rosters'!$B$6:$B$205,0)),"CODE NOT FOUND"))</f>
        <v/>
      </c>
      <c r="L451" s="31" t="str">
        <f t="shared" si="18"/>
        <v/>
      </c>
      <c r="M451" s="31" t="str">
        <f>IF(OR(J451="",C451&lt;&gt;"League",L451&lt;&gt;"VALID"),"",COUNTIFS($J$6:J451,J451,$G$6:G451,G451,$C$6:C451,"League"))</f>
        <v/>
      </c>
      <c r="N451" s="31" t="str">
        <f t="shared" si="19"/>
        <v/>
      </c>
      <c r="O451" s="37" t="str">
        <f t="shared" si="20"/>
        <v/>
      </c>
    </row>
    <row r="452" spans="1:15" ht="15">
      <c r="A452" s="30">
        <v>95</v>
      </c>
      <c r="B452" s="31" t="s">
        <v>499</v>
      </c>
      <c r="C452" s="31" t="s">
        <v>473</v>
      </c>
      <c r="D452" s="31" t="s">
        <v>486</v>
      </c>
      <c r="E452" s="31" t="s">
        <v>477</v>
      </c>
      <c r="F452" s="31" t="str">
        <f>IF(H452=1,INDEX('Match Results'!$G$6:$G$185,MATCH(A452,'Match Results'!$A$6:$A$185,0)),INDEX('Match Results'!$H$6:$H$185,MATCH(A452,'Match Results'!$A$6:$A$185,0)))</f>
        <v>B2</v>
      </c>
      <c r="G452" s="31" t="str">
        <f>IF(H452=1,INDEX('Match Results'!$H$6:$H$185,MATCH(A452,'Match Results'!$A$6:$A$185,0)),INDEX('Match Results'!$G$6:$G$185,MATCH(A452,'Match Results'!$A$6:$A$185,0)))</f>
        <v>B3</v>
      </c>
      <c r="H452" s="31">
        <v>1</v>
      </c>
      <c r="I452" s="31">
        <v>1</v>
      </c>
      <c r="J452" s="32"/>
      <c r="K452" s="31" t="str">
        <f>IF(J452="","",IFERROR(INDEX('Team Rosters'!$C$6:$C$205,MATCH(J452,'Team Rosters'!$B$6:$B$205,0)),"CODE NOT FOUND"))</f>
        <v/>
      </c>
      <c r="L452" s="31" t="str">
        <f t="shared" si="18"/>
        <v/>
      </c>
      <c r="M452" s="31" t="str">
        <f>IF(OR(J452="",C452&lt;&gt;"League",L452&lt;&gt;"VALID"),"",COUNTIFS($J$6:J452,J452,$G$6:G452,G452,$C$6:C452,"League"))</f>
        <v/>
      </c>
      <c r="N452" s="31" t="str">
        <f t="shared" si="19"/>
        <v/>
      </c>
      <c r="O452" s="37" t="str">
        <f t="shared" si="20"/>
        <v/>
      </c>
    </row>
    <row r="453" spans="1:15" ht="15">
      <c r="A453" s="30">
        <v>95</v>
      </c>
      <c r="B453" s="31" t="s">
        <v>499</v>
      </c>
      <c r="C453" s="31" t="s">
        <v>473</v>
      </c>
      <c r="D453" s="31" t="s">
        <v>486</v>
      </c>
      <c r="E453" s="31" t="s">
        <v>477</v>
      </c>
      <c r="F453" s="31" t="str">
        <f>IF(H453=1,INDEX('Match Results'!$G$6:$G$185,MATCH(A453,'Match Results'!$A$6:$A$185,0)),INDEX('Match Results'!$H$6:$H$185,MATCH(A453,'Match Results'!$A$6:$A$185,0)))</f>
        <v>B2</v>
      </c>
      <c r="G453" s="31" t="str">
        <f>IF(H453=1,INDEX('Match Results'!$H$6:$H$185,MATCH(A453,'Match Results'!$A$6:$A$185,0)),INDEX('Match Results'!$G$6:$G$185,MATCH(A453,'Match Results'!$A$6:$A$185,0)))</f>
        <v>B3</v>
      </c>
      <c r="H453" s="31">
        <v>1</v>
      </c>
      <c r="I453" s="31">
        <v>2</v>
      </c>
      <c r="J453" s="32"/>
      <c r="K453" s="31" t="str">
        <f>IF(J453="","",IFERROR(INDEX('Team Rosters'!$C$6:$C$205,MATCH(J453,'Team Rosters'!$B$6:$B$205,0)),"CODE NOT FOUND"))</f>
        <v/>
      </c>
      <c r="L453" s="31" t="str">
        <f t="shared" si="18"/>
        <v/>
      </c>
      <c r="M453" s="31" t="str">
        <f>IF(OR(J453="",C453&lt;&gt;"League",L453&lt;&gt;"VALID"),"",COUNTIFS($J$6:J453,J453,$G$6:G453,G453,$C$6:C453,"League"))</f>
        <v/>
      </c>
      <c r="N453" s="31" t="str">
        <f t="shared" si="19"/>
        <v/>
      </c>
      <c r="O453" s="37" t="str">
        <f t="shared" si="20"/>
        <v/>
      </c>
    </row>
    <row r="454" spans="1:15" ht="15">
      <c r="A454" s="30">
        <v>95</v>
      </c>
      <c r="B454" s="31" t="s">
        <v>499</v>
      </c>
      <c r="C454" s="31" t="s">
        <v>473</v>
      </c>
      <c r="D454" s="31" t="s">
        <v>486</v>
      </c>
      <c r="E454" s="31" t="s">
        <v>477</v>
      </c>
      <c r="F454" s="31" t="str">
        <f>IF(H454=1,INDEX('Match Results'!$G$6:$G$185,MATCH(A454,'Match Results'!$A$6:$A$185,0)),INDEX('Match Results'!$H$6:$H$185,MATCH(A454,'Match Results'!$A$6:$A$185,0)))</f>
        <v>B3</v>
      </c>
      <c r="G454" s="31" t="str">
        <f>IF(H454=1,INDEX('Match Results'!$H$6:$H$185,MATCH(A454,'Match Results'!$A$6:$A$185,0)),INDEX('Match Results'!$G$6:$G$185,MATCH(A454,'Match Results'!$A$6:$A$185,0)))</f>
        <v>B2</v>
      </c>
      <c r="H454" s="31">
        <v>2</v>
      </c>
      <c r="I454" s="31">
        <v>3</v>
      </c>
      <c r="J454" s="32"/>
      <c r="K454" s="31" t="str">
        <f>IF(J454="","",IFERROR(INDEX('Team Rosters'!$C$6:$C$205,MATCH(J454,'Team Rosters'!$B$6:$B$205,0)),"CODE NOT FOUND"))</f>
        <v/>
      </c>
      <c r="L454" s="31" t="str">
        <f t="shared" ref="L454:L517" si="21">IF(J454="","",IF(AND(K454&lt;&gt;"",K454&lt;&gt;"CODE NOT FOUND",LEFT(J454,2)=F454),"VALID","CHECK ROSTER"))</f>
        <v/>
      </c>
      <c r="M454" s="31" t="str">
        <f>IF(OR(J454="",C454&lt;&gt;"League",L454&lt;&gt;"VALID"),"",COUNTIFS($J$6:J454,J454,$G$6:G454,G454,$C$6:C454,"League"))</f>
        <v/>
      </c>
      <c r="N454" s="31" t="str">
        <f t="shared" ref="N454:N517" si="22">IF(J454="","",IF(L454&lt;&gt;"VALID","CHECK ROSTER",IF(C454&lt;&gt;"League","NOT APPLICABLE",IF(M454&lt;=2,"OK","VIOLATION"))))</f>
        <v/>
      </c>
      <c r="O454" s="37" t="str">
        <f t="shared" ref="O454:O517" si="23">IF(N454="VIOLATION",K454&amp;" has played "&amp;M454&amp;" league matches against "&amp;G454&amp;"; limit is 2.","")</f>
        <v/>
      </c>
    </row>
    <row r="455" spans="1:15" ht="15">
      <c r="A455" s="30">
        <v>95</v>
      </c>
      <c r="B455" s="31" t="s">
        <v>499</v>
      </c>
      <c r="C455" s="31" t="s">
        <v>473</v>
      </c>
      <c r="D455" s="31" t="s">
        <v>486</v>
      </c>
      <c r="E455" s="31" t="s">
        <v>477</v>
      </c>
      <c r="F455" s="31" t="str">
        <f>IF(H455=1,INDEX('Match Results'!$G$6:$G$185,MATCH(A455,'Match Results'!$A$6:$A$185,0)),INDEX('Match Results'!$H$6:$H$185,MATCH(A455,'Match Results'!$A$6:$A$185,0)))</f>
        <v>B3</v>
      </c>
      <c r="G455" s="31" t="str">
        <f>IF(H455=1,INDEX('Match Results'!$H$6:$H$185,MATCH(A455,'Match Results'!$A$6:$A$185,0)),INDEX('Match Results'!$G$6:$G$185,MATCH(A455,'Match Results'!$A$6:$A$185,0)))</f>
        <v>B2</v>
      </c>
      <c r="H455" s="31">
        <v>2</v>
      </c>
      <c r="I455" s="31">
        <v>4</v>
      </c>
      <c r="J455" s="32"/>
      <c r="K455" s="31" t="str">
        <f>IF(J455="","",IFERROR(INDEX('Team Rosters'!$C$6:$C$205,MATCH(J455,'Team Rosters'!$B$6:$B$205,0)),"CODE NOT FOUND"))</f>
        <v/>
      </c>
      <c r="L455" s="31" t="str">
        <f t="shared" si="21"/>
        <v/>
      </c>
      <c r="M455" s="31" t="str">
        <f>IF(OR(J455="",C455&lt;&gt;"League",L455&lt;&gt;"VALID"),"",COUNTIFS($J$6:J455,J455,$G$6:G455,G455,$C$6:C455,"League"))</f>
        <v/>
      </c>
      <c r="N455" s="31" t="str">
        <f t="shared" si="22"/>
        <v/>
      </c>
      <c r="O455" s="37" t="str">
        <f t="shared" si="23"/>
        <v/>
      </c>
    </row>
    <row r="456" spans="1:15" ht="15">
      <c r="A456" s="30">
        <v>96</v>
      </c>
      <c r="B456" s="31" t="s">
        <v>499</v>
      </c>
      <c r="C456" s="31" t="s">
        <v>473</v>
      </c>
      <c r="D456" s="31" t="s">
        <v>490</v>
      </c>
      <c r="E456" s="31" t="s">
        <v>491</v>
      </c>
      <c r="F456" s="31" t="str">
        <f>IF(H456=1,INDEX('Match Results'!$G$6:$G$185,MATCH(A456,'Match Results'!$A$6:$A$185,0)),INDEX('Match Results'!$H$6:$H$185,MATCH(A456,'Match Results'!$A$6:$A$185,0)))</f>
        <v>A1</v>
      </c>
      <c r="G456" s="31" t="str">
        <f>IF(H456=1,INDEX('Match Results'!$H$6:$H$185,MATCH(A456,'Match Results'!$A$6:$A$185,0)),INDEX('Match Results'!$G$6:$G$185,MATCH(A456,'Match Results'!$A$6:$A$185,0)))</f>
        <v>A4</v>
      </c>
      <c r="H456" s="31">
        <v>1</v>
      </c>
      <c r="I456" s="31">
        <v>1</v>
      </c>
      <c r="J456" s="32"/>
      <c r="K456" s="31" t="str">
        <f>IF(J456="","",IFERROR(INDEX('Team Rosters'!$C$6:$C$205,MATCH(J456,'Team Rosters'!$B$6:$B$205,0)),"CODE NOT FOUND"))</f>
        <v/>
      </c>
      <c r="L456" s="31" t="str">
        <f t="shared" si="21"/>
        <v/>
      </c>
      <c r="M456" s="31" t="str">
        <f>IF(OR(J456="",C456&lt;&gt;"League",L456&lt;&gt;"VALID"),"",COUNTIFS($J$6:J456,J456,$G$6:G456,G456,$C$6:C456,"League"))</f>
        <v/>
      </c>
      <c r="N456" s="31" t="str">
        <f t="shared" si="22"/>
        <v/>
      </c>
      <c r="O456" s="37" t="str">
        <f t="shared" si="23"/>
        <v/>
      </c>
    </row>
    <row r="457" spans="1:15" ht="15">
      <c r="A457" s="30">
        <v>96</v>
      </c>
      <c r="B457" s="31" t="s">
        <v>499</v>
      </c>
      <c r="C457" s="31" t="s">
        <v>473</v>
      </c>
      <c r="D457" s="31" t="s">
        <v>490</v>
      </c>
      <c r="E457" s="31" t="s">
        <v>491</v>
      </c>
      <c r="F457" s="31" t="str">
        <f>IF(H457=1,INDEX('Match Results'!$G$6:$G$185,MATCH(A457,'Match Results'!$A$6:$A$185,0)),INDEX('Match Results'!$H$6:$H$185,MATCH(A457,'Match Results'!$A$6:$A$185,0)))</f>
        <v>A1</v>
      </c>
      <c r="G457" s="31" t="str">
        <f>IF(H457=1,INDEX('Match Results'!$H$6:$H$185,MATCH(A457,'Match Results'!$A$6:$A$185,0)),INDEX('Match Results'!$G$6:$G$185,MATCH(A457,'Match Results'!$A$6:$A$185,0)))</f>
        <v>A4</v>
      </c>
      <c r="H457" s="31">
        <v>1</v>
      </c>
      <c r="I457" s="31">
        <v>2</v>
      </c>
      <c r="J457" s="32"/>
      <c r="K457" s="31" t="str">
        <f>IF(J457="","",IFERROR(INDEX('Team Rosters'!$C$6:$C$205,MATCH(J457,'Team Rosters'!$B$6:$B$205,0)),"CODE NOT FOUND"))</f>
        <v/>
      </c>
      <c r="L457" s="31" t="str">
        <f t="shared" si="21"/>
        <v/>
      </c>
      <c r="M457" s="31" t="str">
        <f>IF(OR(J457="",C457&lt;&gt;"League",L457&lt;&gt;"VALID"),"",COUNTIFS($J$6:J457,J457,$G$6:G457,G457,$C$6:C457,"League"))</f>
        <v/>
      </c>
      <c r="N457" s="31" t="str">
        <f t="shared" si="22"/>
        <v/>
      </c>
      <c r="O457" s="37" t="str">
        <f t="shared" si="23"/>
        <v/>
      </c>
    </row>
    <row r="458" spans="1:15" ht="15">
      <c r="A458" s="30">
        <v>96</v>
      </c>
      <c r="B458" s="31" t="s">
        <v>499</v>
      </c>
      <c r="C458" s="31" t="s">
        <v>473</v>
      </c>
      <c r="D458" s="31" t="s">
        <v>490</v>
      </c>
      <c r="E458" s="31" t="s">
        <v>491</v>
      </c>
      <c r="F458" s="31" t="str">
        <f>IF(H458=1,INDEX('Match Results'!$G$6:$G$185,MATCH(A458,'Match Results'!$A$6:$A$185,0)),INDEX('Match Results'!$H$6:$H$185,MATCH(A458,'Match Results'!$A$6:$A$185,0)))</f>
        <v>A1</v>
      </c>
      <c r="G458" s="31" t="str">
        <f>IF(H458=1,INDEX('Match Results'!$H$6:$H$185,MATCH(A458,'Match Results'!$A$6:$A$185,0)),INDEX('Match Results'!$G$6:$G$185,MATCH(A458,'Match Results'!$A$6:$A$185,0)))</f>
        <v>A4</v>
      </c>
      <c r="H458" s="31">
        <v>1</v>
      </c>
      <c r="I458" s="31">
        <v>3</v>
      </c>
      <c r="J458" s="32"/>
      <c r="K458" s="31" t="str">
        <f>IF(J458="","",IFERROR(INDEX('Team Rosters'!$C$6:$C$205,MATCH(J458,'Team Rosters'!$B$6:$B$205,0)),"CODE NOT FOUND"))</f>
        <v/>
      </c>
      <c r="L458" s="31" t="str">
        <f t="shared" si="21"/>
        <v/>
      </c>
      <c r="M458" s="31" t="str">
        <f>IF(OR(J458="",C458&lt;&gt;"League",L458&lt;&gt;"VALID"),"",COUNTIFS($J$6:J458,J458,$G$6:G458,G458,$C$6:C458,"League"))</f>
        <v/>
      </c>
      <c r="N458" s="31" t="str">
        <f t="shared" si="22"/>
        <v/>
      </c>
      <c r="O458" s="37" t="str">
        <f t="shared" si="23"/>
        <v/>
      </c>
    </row>
    <row r="459" spans="1:15" ht="15">
      <c r="A459" s="30">
        <v>96</v>
      </c>
      <c r="B459" s="31" t="s">
        <v>499</v>
      </c>
      <c r="C459" s="31" t="s">
        <v>473</v>
      </c>
      <c r="D459" s="31" t="s">
        <v>490</v>
      </c>
      <c r="E459" s="31" t="s">
        <v>491</v>
      </c>
      <c r="F459" s="31" t="str">
        <f>IF(H459=1,INDEX('Match Results'!$G$6:$G$185,MATCH(A459,'Match Results'!$A$6:$A$185,0)),INDEX('Match Results'!$H$6:$H$185,MATCH(A459,'Match Results'!$A$6:$A$185,0)))</f>
        <v>A1</v>
      </c>
      <c r="G459" s="31" t="str">
        <f>IF(H459=1,INDEX('Match Results'!$H$6:$H$185,MATCH(A459,'Match Results'!$A$6:$A$185,0)),INDEX('Match Results'!$G$6:$G$185,MATCH(A459,'Match Results'!$A$6:$A$185,0)))</f>
        <v>A4</v>
      </c>
      <c r="H459" s="31">
        <v>1</v>
      </c>
      <c r="I459" s="31">
        <v>4</v>
      </c>
      <c r="J459" s="32"/>
      <c r="K459" s="31" t="str">
        <f>IF(J459="","",IFERROR(INDEX('Team Rosters'!$C$6:$C$205,MATCH(J459,'Team Rosters'!$B$6:$B$205,0)),"CODE NOT FOUND"))</f>
        <v/>
      </c>
      <c r="L459" s="31" t="str">
        <f t="shared" si="21"/>
        <v/>
      </c>
      <c r="M459" s="31" t="str">
        <f>IF(OR(J459="",C459&lt;&gt;"League",L459&lt;&gt;"VALID"),"",COUNTIFS($J$6:J459,J459,$G$6:G459,G459,$C$6:C459,"League"))</f>
        <v/>
      </c>
      <c r="N459" s="31" t="str">
        <f t="shared" si="22"/>
        <v/>
      </c>
      <c r="O459" s="37" t="str">
        <f t="shared" si="23"/>
        <v/>
      </c>
    </row>
    <row r="460" spans="1:15" ht="15">
      <c r="A460" s="30">
        <v>96</v>
      </c>
      <c r="B460" s="31" t="s">
        <v>499</v>
      </c>
      <c r="C460" s="31" t="s">
        <v>473</v>
      </c>
      <c r="D460" s="31" t="s">
        <v>490</v>
      </c>
      <c r="E460" s="31" t="s">
        <v>491</v>
      </c>
      <c r="F460" s="31" t="str">
        <f>IF(H460=1,INDEX('Match Results'!$G$6:$G$185,MATCH(A460,'Match Results'!$A$6:$A$185,0)),INDEX('Match Results'!$H$6:$H$185,MATCH(A460,'Match Results'!$A$6:$A$185,0)))</f>
        <v>A1</v>
      </c>
      <c r="G460" s="31" t="str">
        <f>IF(H460=1,INDEX('Match Results'!$H$6:$H$185,MATCH(A460,'Match Results'!$A$6:$A$185,0)),INDEX('Match Results'!$G$6:$G$185,MATCH(A460,'Match Results'!$A$6:$A$185,0)))</f>
        <v>A4</v>
      </c>
      <c r="H460" s="31">
        <v>1</v>
      </c>
      <c r="I460" s="31">
        <v>5</v>
      </c>
      <c r="J460" s="32"/>
      <c r="K460" s="31" t="str">
        <f>IF(J460="","",IFERROR(INDEX('Team Rosters'!$C$6:$C$205,MATCH(J460,'Team Rosters'!$B$6:$B$205,0)),"CODE NOT FOUND"))</f>
        <v/>
      </c>
      <c r="L460" s="31" t="str">
        <f t="shared" si="21"/>
        <v/>
      </c>
      <c r="M460" s="31" t="str">
        <f>IF(OR(J460="",C460&lt;&gt;"League",L460&lt;&gt;"VALID"),"",COUNTIFS($J$6:J460,J460,$G$6:G460,G460,$C$6:C460,"League"))</f>
        <v/>
      </c>
      <c r="N460" s="31" t="str">
        <f t="shared" si="22"/>
        <v/>
      </c>
      <c r="O460" s="37" t="str">
        <f t="shared" si="23"/>
        <v/>
      </c>
    </row>
    <row r="461" spans="1:15" ht="15">
      <c r="A461" s="30">
        <v>96</v>
      </c>
      <c r="B461" s="31" t="s">
        <v>499</v>
      </c>
      <c r="C461" s="31" t="s">
        <v>473</v>
      </c>
      <c r="D461" s="31" t="s">
        <v>490</v>
      </c>
      <c r="E461" s="31" t="s">
        <v>491</v>
      </c>
      <c r="F461" s="31" t="str">
        <f>IF(H461=1,INDEX('Match Results'!$G$6:$G$185,MATCH(A461,'Match Results'!$A$6:$A$185,0)),INDEX('Match Results'!$H$6:$H$185,MATCH(A461,'Match Results'!$A$6:$A$185,0)))</f>
        <v>A1</v>
      </c>
      <c r="G461" s="31" t="str">
        <f>IF(H461=1,INDEX('Match Results'!$H$6:$H$185,MATCH(A461,'Match Results'!$A$6:$A$185,0)),INDEX('Match Results'!$G$6:$G$185,MATCH(A461,'Match Results'!$A$6:$A$185,0)))</f>
        <v>A4</v>
      </c>
      <c r="H461" s="31">
        <v>1</v>
      </c>
      <c r="I461" s="31">
        <v>6</v>
      </c>
      <c r="J461" s="32"/>
      <c r="K461" s="31" t="str">
        <f>IF(J461="","",IFERROR(INDEX('Team Rosters'!$C$6:$C$205,MATCH(J461,'Team Rosters'!$B$6:$B$205,0)),"CODE NOT FOUND"))</f>
        <v/>
      </c>
      <c r="L461" s="31" t="str">
        <f t="shared" si="21"/>
        <v/>
      </c>
      <c r="M461" s="31" t="str">
        <f>IF(OR(J461="",C461&lt;&gt;"League",L461&lt;&gt;"VALID"),"",COUNTIFS($J$6:J461,J461,$G$6:G461,G461,$C$6:C461,"League"))</f>
        <v/>
      </c>
      <c r="N461" s="31" t="str">
        <f t="shared" si="22"/>
        <v/>
      </c>
      <c r="O461" s="37" t="str">
        <f t="shared" si="23"/>
        <v/>
      </c>
    </row>
    <row r="462" spans="1:15" ht="15">
      <c r="A462" s="30">
        <v>96</v>
      </c>
      <c r="B462" s="31" t="s">
        <v>499</v>
      </c>
      <c r="C462" s="31" t="s">
        <v>473</v>
      </c>
      <c r="D462" s="31" t="s">
        <v>490</v>
      </c>
      <c r="E462" s="31" t="s">
        <v>491</v>
      </c>
      <c r="F462" s="31" t="str">
        <f>IF(H462=1,INDEX('Match Results'!$G$6:$G$185,MATCH(A462,'Match Results'!$A$6:$A$185,0)),INDEX('Match Results'!$H$6:$H$185,MATCH(A462,'Match Results'!$A$6:$A$185,0)))</f>
        <v>A1</v>
      </c>
      <c r="G462" s="31" t="str">
        <f>IF(H462=1,INDEX('Match Results'!$H$6:$H$185,MATCH(A462,'Match Results'!$A$6:$A$185,0)),INDEX('Match Results'!$G$6:$G$185,MATCH(A462,'Match Results'!$A$6:$A$185,0)))</f>
        <v>A4</v>
      </c>
      <c r="H462" s="31">
        <v>1</v>
      </c>
      <c r="I462" s="31">
        <v>7</v>
      </c>
      <c r="J462" s="32"/>
      <c r="K462" s="31" t="str">
        <f>IF(J462="","",IFERROR(INDEX('Team Rosters'!$C$6:$C$205,MATCH(J462,'Team Rosters'!$B$6:$B$205,0)),"CODE NOT FOUND"))</f>
        <v/>
      </c>
      <c r="L462" s="31" t="str">
        <f t="shared" si="21"/>
        <v/>
      </c>
      <c r="M462" s="31" t="str">
        <f>IF(OR(J462="",C462&lt;&gt;"League",L462&lt;&gt;"VALID"),"",COUNTIFS($J$6:J462,J462,$G$6:G462,G462,$C$6:C462,"League"))</f>
        <v/>
      </c>
      <c r="N462" s="31" t="str">
        <f t="shared" si="22"/>
        <v/>
      </c>
      <c r="O462" s="37" t="str">
        <f t="shared" si="23"/>
        <v/>
      </c>
    </row>
    <row r="463" spans="1:15" ht="15">
      <c r="A463" s="30">
        <v>96</v>
      </c>
      <c r="B463" s="31" t="s">
        <v>499</v>
      </c>
      <c r="C463" s="31" t="s">
        <v>473</v>
      </c>
      <c r="D463" s="31" t="s">
        <v>490</v>
      </c>
      <c r="E463" s="31" t="s">
        <v>491</v>
      </c>
      <c r="F463" s="31" t="str">
        <f>IF(H463=1,INDEX('Match Results'!$G$6:$G$185,MATCH(A463,'Match Results'!$A$6:$A$185,0)),INDEX('Match Results'!$H$6:$H$185,MATCH(A463,'Match Results'!$A$6:$A$185,0)))</f>
        <v>A4</v>
      </c>
      <c r="G463" s="31" t="str">
        <f>IF(H463=1,INDEX('Match Results'!$H$6:$H$185,MATCH(A463,'Match Results'!$A$6:$A$185,0)),INDEX('Match Results'!$G$6:$G$185,MATCH(A463,'Match Results'!$A$6:$A$185,0)))</f>
        <v>A1</v>
      </c>
      <c r="H463" s="31">
        <v>2</v>
      </c>
      <c r="I463" s="31">
        <v>8</v>
      </c>
      <c r="J463" s="32"/>
      <c r="K463" s="31" t="str">
        <f>IF(J463="","",IFERROR(INDEX('Team Rosters'!$C$6:$C$205,MATCH(J463,'Team Rosters'!$B$6:$B$205,0)),"CODE NOT FOUND"))</f>
        <v/>
      </c>
      <c r="L463" s="31" t="str">
        <f t="shared" si="21"/>
        <v/>
      </c>
      <c r="M463" s="31" t="str">
        <f>IF(OR(J463="",C463&lt;&gt;"League",L463&lt;&gt;"VALID"),"",COUNTIFS($J$6:J463,J463,$G$6:G463,G463,$C$6:C463,"League"))</f>
        <v/>
      </c>
      <c r="N463" s="31" t="str">
        <f t="shared" si="22"/>
        <v/>
      </c>
      <c r="O463" s="37" t="str">
        <f t="shared" si="23"/>
        <v/>
      </c>
    </row>
    <row r="464" spans="1:15" ht="15">
      <c r="A464" s="30">
        <v>96</v>
      </c>
      <c r="B464" s="31" t="s">
        <v>499</v>
      </c>
      <c r="C464" s="31" t="s">
        <v>473</v>
      </c>
      <c r="D464" s="31" t="s">
        <v>490</v>
      </c>
      <c r="E464" s="31" t="s">
        <v>491</v>
      </c>
      <c r="F464" s="31" t="str">
        <f>IF(H464=1,INDEX('Match Results'!$G$6:$G$185,MATCH(A464,'Match Results'!$A$6:$A$185,0)),INDEX('Match Results'!$H$6:$H$185,MATCH(A464,'Match Results'!$A$6:$A$185,0)))</f>
        <v>A4</v>
      </c>
      <c r="G464" s="31" t="str">
        <f>IF(H464=1,INDEX('Match Results'!$H$6:$H$185,MATCH(A464,'Match Results'!$A$6:$A$185,0)),INDEX('Match Results'!$G$6:$G$185,MATCH(A464,'Match Results'!$A$6:$A$185,0)))</f>
        <v>A1</v>
      </c>
      <c r="H464" s="31">
        <v>2</v>
      </c>
      <c r="I464" s="31">
        <v>9</v>
      </c>
      <c r="J464" s="32"/>
      <c r="K464" s="31" t="str">
        <f>IF(J464="","",IFERROR(INDEX('Team Rosters'!$C$6:$C$205,MATCH(J464,'Team Rosters'!$B$6:$B$205,0)),"CODE NOT FOUND"))</f>
        <v/>
      </c>
      <c r="L464" s="31" t="str">
        <f t="shared" si="21"/>
        <v/>
      </c>
      <c r="M464" s="31" t="str">
        <f>IF(OR(J464="",C464&lt;&gt;"League",L464&lt;&gt;"VALID"),"",COUNTIFS($J$6:J464,J464,$G$6:G464,G464,$C$6:C464,"League"))</f>
        <v/>
      </c>
      <c r="N464" s="31" t="str">
        <f t="shared" si="22"/>
        <v/>
      </c>
      <c r="O464" s="37" t="str">
        <f t="shared" si="23"/>
        <v/>
      </c>
    </row>
    <row r="465" spans="1:15" ht="15">
      <c r="A465" s="30">
        <v>96</v>
      </c>
      <c r="B465" s="31" t="s">
        <v>499</v>
      </c>
      <c r="C465" s="31" t="s">
        <v>473</v>
      </c>
      <c r="D465" s="31" t="s">
        <v>490</v>
      </c>
      <c r="E465" s="31" t="s">
        <v>491</v>
      </c>
      <c r="F465" s="31" t="str">
        <f>IF(H465=1,INDEX('Match Results'!$G$6:$G$185,MATCH(A465,'Match Results'!$A$6:$A$185,0)),INDEX('Match Results'!$H$6:$H$185,MATCH(A465,'Match Results'!$A$6:$A$185,0)))</f>
        <v>A4</v>
      </c>
      <c r="G465" s="31" t="str">
        <f>IF(H465=1,INDEX('Match Results'!$H$6:$H$185,MATCH(A465,'Match Results'!$A$6:$A$185,0)),INDEX('Match Results'!$G$6:$G$185,MATCH(A465,'Match Results'!$A$6:$A$185,0)))</f>
        <v>A1</v>
      </c>
      <c r="H465" s="31">
        <v>2</v>
      </c>
      <c r="I465" s="31">
        <v>10</v>
      </c>
      <c r="J465" s="32"/>
      <c r="K465" s="31" t="str">
        <f>IF(J465="","",IFERROR(INDEX('Team Rosters'!$C$6:$C$205,MATCH(J465,'Team Rosters'!$B$6:$B$205,0)),"CODE NOT FOUND"))</f>
        <v/>
      </c>
      <c r="L465" s="31" t="str">
        <f t="shared" si="21"/>
        <v/>
      </c>
      <c r="M465" s="31" t="str">
        <f>IF(OR(J465="",C465&lt;&gt;"League",L465&lt;&gt;"VALID"),"",COUNTIFS($J$6:J465,J465,$G$6:G465,G465,$C$6:C465,"League"))</f>
        <v/>
      </c>
      <c r="N465" s="31" t="str">
        <f t="shared" si="22"/>
        <v/>
      </c>
      <c r="O465" s="37" t="str">
        <f t="shared" si="23"/>
        <v/>
      </c>
    </row>
    <row r="466" spans="1:15" ht="15">
      <c r="A466" s="30">
        <v>96</v>
      </c>
      <c r="B466" s="31" t="s">
        <v>499</v>
      </c>
      <c r="C466" s="31" t="s">
        <v>473</v>
      </c>
      <c r="D466" s="31" t="s">
        <v>490</v>
      </c>
      <c r="E466" s="31" t="s">
        <v>491</v>
      </c>
      <c r="F466" s="31" t="str">
        <f>IF(H466=1,INDEX('Match Results'!$G$6:$G$185,MATCH(A466,'Match Results'!$A$6:$A$185,0)),INDEX('Match Results'!$H$6:$H$185,MATCH(A466,'Match Results'!$A$6:$A$185,0)))</f>
        <v>A4</v>
      </c>
      <c r="G466" s="31" t="str">
        <f>IF(H466=1,INDEX('Match Results'!$H$6:$H$185,MATCH(A466,'Match Results'!$A$6:$A$185,0)),INDEX('Match Results'!$G$6:$G$185,MATCH(A466,'Match Results'!$A$6:$A$185,0)))</f>
        <v>A1</v>
      </c>
      <c r="H466" s="31">
        <v>2</v>
      </c>
      <c r="I466" s="31">
        <v>11</v>
      </c>
      <c r="J466" s="32"/>
      <c r="K466" s="31" t="str">
        <f>IF(J466="","",IFERROR(INDEX('Team Rosters'!$C$6:$C$205,MATCH(J466,'Team Rosters'!$B$6:$B$205,0)),"CODE NOT FOUND"))</f>
        <v/>
      </c>
      <c r="L466" s="31" t="str">
        <f t="shared" si="21"/>
        <v/>
      </c>
      <c r="M466" s="31" t="str">
        <f>IF(OR(J466="",C466&lt;&gt;"League",L466&lt;&gt;"VALID"),"",COUNTIFS($J$6:J466,J466,$G$6:G466,G466,$C$6:C466,"League"))</f>
        <v/>
      </c>
      <c r="N466" s="31" t="str">
        <f t="shared" si="22"/>
        <v/>
      </c>
      <c r="O466" s="37" t="str">
        <f t="shared" si="23"/>
        <v/>
      </c>
    </row>
    <row r="467" spans="1:15" ht="15">
      <c r="A467" s="30">
        <v>96</v>
      </c>
      <c r="B467" s="31" t="s">
        <v>499</v>
      </c>
      <c r="C467" s="31" t="s">
        <v>473</v>
      </c>
      <c r="D467" s="31" t="s">
        <v>490</v>
      </c>
      <c r="E467" s="31" t="s">
        <v>491</v>
      </c>
      <c r="F467" s="31" t="str">
        <f>IF(H467=1,INDEX('Match Results'!$G$6:$G$185,MATCH(A467,'Match Results'!$A$6:$A$185,0)),INDEX('Match Results'!$H$6:$H$185,MATCH(A467,'Match Results'!$A$6:$A$185,0)))</f>
        <v>A4</v>
      </c>
      <c r="G467" s="31" t="str">
        <f>IF(H467=1,INDEX('Match Results'!$H$6:$H$185,MATCH(A467,'Match Results'!$A$6:$A$185,0)),INDEX('Match Results'!$G$6:$G$185,MATCH(A467,'Match Results'!$A$6:$A$185,0)))</f>
        <v>A1</v>
      </c>
      <c r="H467" s="31">
        <v>2</v>
      </c>
      <c r="I467" s="31">
        <v>12</v>
      </c>
      <c r="J467" s="32"/>
      <c r="K467" s="31" t="str">
        <f>IF(J467="","",IFERROR(INDEX('Team Rosters'!$C$6:$C$205,MATCH(J467,'Team Rosters'!$B$6:$B$205,0)),"CODE NOT FOUND"))</f>
        <v/>
      </c>
      <c r="L467" s="31" t="str">
        <f t="shared" si="21"/>
        <v/>
      </c>
      <c r="M467" s="31" t="str">
        <f>IF(OR(J467="",C467&lt;&gt;"League",L467&lt;&gt;"VALID"),"",COUNTIFS($J$6:J467,J467,$G$6:G467,G467,$C$6:C467,"League"))</f>
        <v/>
      </c>
      <c r="N467" s="31" t="str">
        <f t="shared" si="22"/>
        <v/>
      </c>
      <c r="O467" s="37" t="str">
        <f t="shared" si="23"/>
        <v/>
      </c>
    </row>
    <row r="468" spans="1:15" ht="15">
      <c r="A468" s="30">
        <v>96</v>
      </c>
      <c r="B468" s="31" t="s">
        <v>499</v>
      </c>
      <c r="C468" s="31" t="s">
        <v>473</v>
      </c>
      <c r="D468" s="31" t="s">
        <v>490</v>
      </c>
      <c r="E468" s="31" t="s">
        <v>491</v>
      </c>
      <c r="F468" s="31" t="str">
        <f>IF(H468=1,INDEX('Match Results'!$G$6:$G$185,MATCH(A468,'Match Results'!$A$6:$A$185,0)),INDEX('Match Results'!$H$6:$H$185,MATCH(A468,'Match Results'!$A$6:$A$185,0)))</f>
        <v>A4</v>
      </c>
      <c r="G468" s="31" t="str">
        <f>IF(H468=1,INDEX('Match Results'!$H$6:$H$185,MATCH(A468,'Match Results'!$A$6:$A$185,0)),INDEX('Match Results'!$G$6:$G$185,MATCH(A468,'Match Results'!$A$6:$A$185,0)))</f>
        <v>A1</v>
      </c>
      <c r="H468" s="31">
        <v>2</v>
      </c>
      <c r="I468" s="31">
        <v>13</v>
      </c>
      <c r="J468" s="32"/>
      <c r="K468" s="31" t="str">
        <f>IF(J468="","",IFERROR(INDEX('Team Rosters'!$C$6:$C$205,MATCH(J468,'Team Rosters'!$B$6:$B$205,0)),"CODE NOT FOUND"))</f>
        <v/>
      </c>
      <c r="L468" s="31" t="str">
        <f t="shared" si="21"/>
        <v/>
      </c>
      <c r="M468" s="31" t="str">
        <f>IF(OR(J468="",C468&lt;&gt;"League",L468&lt;&gt;"VALID"),"",COUNTIFS($J$6:J468,J468,$G$6:G468,G468,$C$6:C468,"League"))</f>
        <v/>
      </c>
      <c r="N468" s="31" t="str">
        <f t="shared" si="22"/>
        <v/>
      </c>
      <c r="O468" s="37" t="str">
        <f t="shared" si="23"/>
        <v/>
      </c>
    </row>
    <row r="469" spans="1:15" ht="15">
      <c r="A469" s="30">
        <v>96</v>
      </c>
      <c r="B469" s="31" t="s">
        <v>499</v>
      </c>
      <c r="C469" s="31" t="s">
        <v>473</v>
      </c>
      <c r="D469" s="31" t="s">
        <v>490</v>
      </c>
      <c r="E469" s="31" t="s">
        <v>491</v>
      </c>
      <c r="F469" s="31" t="str">
        <f>IF(H469=1,INDEX('Match Results'!$G$6:$G$185,MATCH(A469,'Match Results'!$A$6:$A$185,0)),INDEX('Match Results'!$H$6:$H$185,MATCH(A469,'Match Results'!$A$6:$A$185,0)))</f>
        <v>A4</v>
      </c>
      <c r="G469" s="31" t="str">
        <f>IF(H469=1,INDEX('Match Results'!$H$6:$H$185,MATCH(A469,'Match Results'!$A$6:$A$185,0)),INDEX('Match Results'!$G$6:$G$185,MATCH(A469,'Match Results'!$A$6:$A$185,0)))</f>
        <v>A1</v>
      </c>
      <c r="H469" s="31">
        <v>2</v>
      </c>
      <c r="I469" s="31">
        <v>14</v>
      </c>
      <c r="J469" s="32"/>
      <c r="K469" s="31" t="str">
        <f>IF(J469="","",IFERROR(INDEX('Team Rosters'!$C$6:$C$205,MATCH(J469,'Team Rosters'!$B$6:$B$205,0)),"CODE NOT FOUND"))</f>
        <v/>
      </c>
      <c r="L469" s="31" t="str">
        <f t="shared" si="21"/>
        <v/>
      </c>
      <c r="M469" s="31" t="str">
        <f>IF(OR(J469="",C469&lt;&gt;"League",L469&lt;&gt;"VALID"),"",COUNTIFS($J$6:J469,J469,$G$6:G469,G469,$C$6:C469,"League"))</f>
        <v/>
      </c>
      <c r="N469" s="31" t="str">
        <f t="shared" si="22"/>
        <v/>
      </c>
      <c r="O469" s="37" t="str">
        <f t="shared" si="23"/>
        <v/>
      </c>
    </row>
    <row r="470" spans="1:15" ht="15">
      <c r="A470" s="30">
        <v>97</v>
      </c>
      <c r="B470" s="31" t="s">
        <v>500</v>
      </c>
      <c r="C470" s="31" t="s">
        <v>473</v>
      </c>
      <c r="D470" s="31" t="s">
        <v>471</v>
      </c>
      <c r="E470" s="31" t="s">
        <v>472</v>
      </c>
      <c r="F470" s="31" t="str">
        <f>IF(H470=1,INDEX('Match Results'!$G$6:$G$185,MATCH(A470,'Match Results'!$A$6:$A$185,0)),INDEX('Match Results'!$H$6:$H$185,MATCH(A470,'Match Results'!$A$6:$A$185,0)))</f>
        <v>A1</v>
      </c>
      <c r="G470" s="31" t="str">
        <f>IF(H470=1,INDEX('Match Results'!$H$6:$H$185,MATCH(A470,'Match Results'!$A$6:$A$185,0)),INDEX('Match Results'!$G$6:$G$185,MATCH(A470,'Match Results'!$A$6:$A$185,0)))</f>
        <v>A4</v>
      </c>
      <c r="H470" s="31">
        <v>1</v>
      </c>
      <c r="I470" s="31">
        <v>1</v>
      </c>
      <c r="J470" s="32"/>
      <c r="K470" s="31" t="str">
        <f>IF(J470="","",IFERROR(INDEX('Team Rosters'!$C$6:$C$205,MATCH(J470,'Team Rosters'!$B$6:$B$205,0)),"CODE NOT FOUND"))</f>
        <v/>
      </c>
      <c r="L470" s="31" t="str">
        <f t="shared" si="21"/>
        <v/>
      </c>
      <c r="M470" s="31" t="str">
        <f>IF(OR(J470="",C470&lt;&gt;"League",L470&lt;&gt;"VALID"),"",COUNTIFS($J$6:J470,J470,$G$6:G470,G470,$C$6:C470,"League"))</f>
        <v/>
      </c>
      <c r="N470" s="31" t="str">
        <f t="shared" si="22"/>
        <v/>
      </c>
      <c r="O470" s="37" t="str">
        <f t="shared" si="23"/>
        <v/>
      </c>
    </row>
    <row r="471" spans="1:15" ht="15">
      <c r="A471" s="30">
        <v>97</v>
      </c>
      <c r="B471" s="31" t="s">
        <v>500</v>
      </c>
      <c r="C471" s="31" t="s">
        <v>473</v>
      </c>
      <c r="D471" s="31" t="s">
        <v>471</v>
      </c>
      <c r="E471" s="31" t="s">
        <v>472</v>
      </c>
      <c r="F471" s="31" t="str">
        <f>IF(H471=1,INDEX('Match Results'!$G$6:$G$185,MATCH(A471,'Match Results'!$A$6:$A$185,0)),INDEX('Match Results'!$H$6:$H$185,MATCH(A471,'Match Results'!$A$6:$A$185,0)))</f>
        <v>A1</v>
      </c>
      <c r="G471" s="31" t="str">
        <f>IF(H471=1,INDEX('Match Results'!$H$6:$H$185,MATCH(A471,'Match Results'!$A$6:$A$185,0)),INDEX('Match Results'!$G$6:$G$185,MATCH(A471,'Match Results'!$A$6:$A$185,0)))</f>
        <v>A4</v>
      </c>
      <c r="H471" s="31">
        <v>1</v>
      </c>
      <c r="I471" s="31">
        <v>2</v>
      </c>
      <c r="J471" s="32"/>
      <c r="K471" s="31" t="str">
        <f>IF(J471="","",IFERROR(INDEX('Team Rosters'!$C$6:$C$205,MATCH(J471,'Team Rosters'!$B$6:$B$205,0)),"CODE NOT FOUND"))</f>
        <v/>
      </c>
      <c r="L471" s="31" t="str">
        <f t="shared" si="21"/>
        <v/>
      </c>
      <c r="M471" s="31" t="str">
        <f>IF(OR(J471="",C471&lt;&gt;"League",L471&lt;&gt;"VALID"),"",COUNTIFS($J$6:J471,J471,$G$6:G471,G471,$C$6:C471,"League"))</f>
        <v/>
      </c>
      <c r="N471" s="31" t="str">
        <f t="shared" si="22"/>
        <v/>
      </c>
      <c r="O471" s="37" t="str">
        <f t="shared" si="23"/>
        <v/>
      </c>
    </row>
    <row r="472" spans="1:15" ht="15">
      <c r="A472" s="30">
        <v>97</v>
      </c>
      <c r="B472" s="31" t="s">
        <v>500</v>
      </c>
      <c r="C472" s="31" t="s">
        <v>473</v>
      </c>
      <c r="D472" s="31" t="s">
        <v>471</v>
      </c>
      <c r="E472" s="31" t="s">
        <v>472</v>
      </c>
      <c r="F472" s="31" t="str">
        <f>IF(H472=1,INDEX('Match Results'!$G$6:$G$185,MATCH(A472,'Match Results'!$A$6:$A$185,0)),INDEX('Match Results'!$H$6:$H$185,MATCH(A472,'Match Results'!$A$6:$A$185,0)))</f>
        <v>A4</v>
      </c>
      <c r="G472" s="31" t="str">
        <f>IF(H472=1,INDEX('Match Results'!$H$6:$H$185,MATCH(A472,'Match Results'!$A$6:$A$185,0)),INDEX('Match Results'!$G$6:$G$185,MATCH(A472,'Match Results'!$A$6:$A$185,0)))</f>
        <v>A1</v>
      </c>
      <c r="H472" s="31">
        <v>2</v>
      </c>
      <c r="I472" s="31">
        <v>3</v>
      </c>
      <c r="J472" s="32"/>
      <c r="K472" s="31" t="str">
        <f>IF(J472="","",IFERROR(INDEX('Team Rosters'!$C$6:$C$205,MATCH(J472,'Team Rosters'!$B$6:$B$205,0)),"CODE NOT FOUND"))</f>
        <v/>
      </c>
      <c r="L472" s="31" t="str">
        <f t="shared" si="21"/>
        <v/>
      </c>
      <c r="M472" s="31" t="str">
        <f>IF(OR(J472="",C472&lt;&gt;"League",L472&lt;&gt;"VALID"),"",COUNTIFS($J$6:J472,J472,$G$6:G472,G472,$C$6:C472,"League"))</f>
        <v/>
      </c>
      <c r="N472" s="31" t="str">
        <f t="shared" si="22"/>
        <v/>
      </c>
      <c r="O472" s="37" t="str">
        <f t="shared" si="23"/>
        <v/>
      </c>
    </row>
    <row r="473" spans="1:15" ht="15">
      <c r="A473" s="30">
        <v>97</v>
      </c>
      <c r="B473" s="31" t="s">
        <v>500</v>
      </c>
      <c r="C473" s="31" t="s">
        <v>473</v>
      </c>
      <c r="D473" s="31" t="s">
        <v>471</v>
      </c>
      <c r="E473" s="31" t="s">
        <v>472</v>
      </c>
      <c r="F473" s="31" t="str">
        <f>IF(H473=1,INDEX('Match Results'!$G$6:$G$185,MATCH(A473,'Match Results'!$A$6:$A$185,0)),INDEX('Match Results'!$H$6:$H$185,MATCH(A473,'Match Results'!$A$6:$A$185,0)))</f>
        <v>A4</v>
      </c>
      <c r="G473" s="31" t="str">
        <f>IF(H473=1,INDEX('Match Results'!$H$6:$H$185,MATCH(A473,'Match Results'!$A$6:$A$185,0)),INDEX('Match Results'!$G$6:$G$185,MATCH(A473,'Match Results'!$A$6:$A$185,0)))</f>
        <v>A1</v>
      </c>
      <c r="H473" s="31">
        <v>2</v>
      </c>
      <c r="I473" s="31">
        <v>4</v>
      </c>
      <c r="J473" s="32"/>
      <c r="K473" s="31" t="str">
        <f>IF(J473="","",IFERROR(INDEX('Team Rosters'!$C$6:$C$205,MATCH(J473,'Team Rosters'!$B$6:$B$205,0)),"CODE NOT FOUND"))</f>
        <v/>
      </c>
      <c r="L473" s="31" t="str">
        <f t="shared" si="21"/>
        <v/>
      </c>
      <c r="M473" s="31" t="str">
        <f>IF(OR(J473="",C473&lt;&gt;"League",L473&lt;&gt;"VALID"),"",COUNTIFS($J$6:J473,J473,$G$6:G473,G473,$C$6:C473,"League"))</f>
        <v/>
      </c>
      <c r="N473" s="31" t="str">
        <f t="shared" si="22"/>
        <v/>
      </c>
      <c r="O473" s="37" t="str">
        <f t="shared" si="23"/>
        <v/>
      </c>
    </row>
    <row r="474" spans="1:15" ht="15">
      <c r="A474" s="30">
        <v>98</v>
      </c>
      <c r="B474" s="31" t="s">
        <v>500</v>
      </c>
      <c r="C474" s="31" t="s">
        <v>473</v>
      </c>
      <c r="D474" s="31" t="s">
        <v>471</v>
      </c>
      <c r="E474" s="31" t="s">
        <v>475</v>
      </c>
      <c r="F474" s="31" t="str">
        <f>IF(H474=1,INDEX('Match Results'!$G$6:$G$185,MATCH(A474,'Match Results'!$A$6:$A$185,0)),INDEX('Match Results'!$H$6:$H$185,MATCH(A474,'Match Results'!$A$6:$A$185,0)))</f>
        <v>A2</v>
      </c>
      <c r="G474" s="31" t="str">
        <f>IF(H474=1,INDEX('Match Results'!$H$6:$H$185,MATCH(A474,'Match Results'!$A$6:$A$185,0)),INDEX('Match Results'!$G$6:$G$185,MATCH(A474,'Match Results'!$A$6:$A$185,0)))</f>
        <v>A3</v>
      </c>
      <c r="H474" s="31">
        <v>1</v>
      </c>
      <c r="I474" s="31">
        <v>1</v>
      </c>
      <c r="J474" s="32"/>
      <c r="K474" s="31" t="str">
        <f>IF(J474="","",IFERROR(INDEX('Team Rosters'!$C$6:$C$205,MATCH(J474,'Team Rosters'!$B$6:$B$205,0)),"CODE NOT FOUND"))</f>
        <v/>
      </c>
      <c r="L474" s="31" t="str">
        <f t="shared" si="21"/>
        <v/>
      </c>
      <c r="M474" s="31" t="str">
        <f>IF(OR(J474="",C474&lt;&gt;"League",L474&lt;&gt;"VALID"),"",COUNTIFS($J$6:J474,J474,$G$6:G474,G474,$C$6:C474,"League"))</f>
        <v/>
      </c>
      <c r="N474" s="31" t="str">
        <f t="shared" si="22"/>
        <v/>
      </c>
      <c r="O474" s="37" t="str">
        <f t="shared" si="23"/>
        <v/>
      </c>
    </row>
    <row r="475" spans="1:15" ht="15">
      <c r="A475" s="30">
        <v>98</v>
      </c>
      <c r="B475" s="31" t="s">
        <v>500</v>
      </c>
      <c r="C475" s="31" t="s">
        <v>473</v>
      </c>
      <c r="D475" s="31" t="s">
        <v>471</v>
      </c>
      <c r="E475" s="31" t="s">
        <v>475</v>
      </c>
      <c r="F475" s="31" t="str">
        <f>IF(H475=1,INDEX('Match Results'!$G$6:$G$185,MATCH(A475,'Match Results'!$A$6:$A$185,0)),INDEX('Match Results'!$H$6:$H$185,MATCH(A475,'Match Results'!$A$6:$A$185,0)))</f>
        <v>A2</v>
      </c>
      <c r="G475" s="31" t="str">
        <f>IF(H475=1,INDEX('Match Results'!$H$6:$H$185,MATCH(A475,'Match Results'!$A$6:$A$185,0)),INDEX('Match Results'!$G$6:$G$185,MATCH(A475,'Match Results'!$A$6:$A$185,0)))</f>
        <v>A3</v>
      </c>
      <c r="H475" s="31">
        <v>1</v>
      </c>
      <c r="I475" s="31">
        <v>2</v>
      </c>
      <c r="J475" s="32"/>
      <c r="K475" s="31" t="str">
        <f>IF(J475="","",IFERROR(INDEX('Team Rosters'!$C$6:$C$205,MATCH(J475,'Team Rosters'!$B$6:$B$205,0)),"CODE NOT FOUND"))</f>
        <v/>
      </c>
      <c r="L475" s="31" t="str">
        <f t="shared" si="21"/>
        <v/>
      </c>
      <c r="M475" s="31" t="str">
        <f>IF(OR(J475="",C475&lt;&gt;"League",L475&lt;&gt;"VALID"),"",COUNTIFS($J$6:J475,J475,$G$6:G475,G475,$C$6:C475,"League"))</f>
        <v/>
      </c>
      <c r="N475" s="31" t="str">
        <f t="shared" si="22"/>
        <v/>
      </c>
      <c r="O475" s="37" t="str">
        <f t="shared" si="23"/>
        <v/>
      </c>
    </row>
    <row r="476" spans="1:15" ht="15">
      <c r="A476" s="30">
        <v>98</v>
      </c>
      <c r="B476" s="31" t="s">
        <v>500</v>
      </c>
      <c r="C476" s="31" t="s">
        <v>473</v>
      </c>
      <c r="D476" s="31" t="s">
        <v>471</v>
      </c>
      <c r="E476" s="31" t="s">
        <v>475</v>
      </c>
      <c r="F476" s="31" t="str">
        <f>IF(H476=1,INDEX('Match Results'!$G$6:$G$185,MATCH(A476,'Match Results'!$A$6:$A$185,0)),INDEX('Match Results'!$H$6:$H$185,MATCH(A476,'Match Results'!$A$6:$A$185,0)))</f>
        <v>A3</v>
      </c>
      <c r="G476" s="31" t="str">
        <f>IF(H476=1,INDEX('Match Results'!$H$6:$H$185,MATCH(A476,'Match Results'!$A$6:$A$185,0)),INDEX('Match Results'!$G$6:$G$185,MATCH(A476,'Match Results'!$A$6:$A$185,0)))</f>
        <v>A2</v>
      </c>
      <c r="H476" s="31">
        <v>2</v>
      </c>
      <c r="I476" s="31">
        <v>3</v>
      </c>
      <c r="J476" s="32"/>
      <c r="K476" s="31" t="str">
        <f>IF(J476="","",IFERROR(INDEX('Team Rosters'!$C$6:$C$205,MATCH(J476,'Team Rosters'!$B$6:$B$205,0)),"CODE NOT FOUND"))</f>
        <v/>
      </c>
      <c r="L476" s="31" t="str">
        <f t="shared" si="21"/>
        <v/>
      </c>
      <c r="M476" s="31" t="str">
        <f>IF(OR(J476="",C476&lt;&gt;"League",L476&lt;&gt;"VALID"),"",COUNTIFS($J$6:J476,J476,$G$6:G476,G476,$C$6:C476,"League"))</f>
        <v/>
      </c>
      <c r="N476" s="31" t="str">
        <f t="shared" si="22"/>
        <v/>
      </c>
      <c r="O476" s="37" t="str">
        <f t="shared" si="23"/>
        <v/>
      </c>
    </row>
    <row r="477" spans="1:15" ht="15">
      <c r="A477" s="30">
        <v>98</v>
      </c>
      <c r="B477" s="31" t="s">
        <v>500</v>
      </c>
      <c r="C477" s="31" t="s">
        <v>473</v>
      </c>
      <c r="D477" s="31" t="s">
        <v>471</v>
      </c>
      <c r="E477" s="31" t="s">
        <v>475</v>
      </c>
      <c r="F477" s="31" t="str">
        <f>IF(H477=1,INDEX('Match Results'!$G$6:$G$185,MATCH(A477,'Match Results'!$A$6:$A$185,0)),INDEX('Match Results'!$H$6:$H$185,MATCH(A477,'Match Results'!$A$6:$A$185,0)))</f>
        <v>A3</v>
      </c>
      <c r="G477" s="31" t="str">
        <f>IF(H477=1,INDEX('Match Results'!$H$6:$H$185,MATCH(A477,'Match Results'!$A$6:$A$185,0)),INDEX('Match Results'!$G$6:$G$185,MATCH(A477,'Match Results'!$A$6:$A$185,0)))</f>
        <v>A2</v>
      </c>
      <c r="H477" s="31">
        <v>2</v>
      </c>
      <c r="I477" s="31">
        <v>4</v>
      </c>
      <c r="J477" s="32"/>
      <c r="K477" s="31" t="str">
        <f>IF(J477="","",IFERROR(INDEX('Team Rosters'!$C$6:$C$205,MATCH(J477,'Team Rosters'!$B$6:$B$205,0)),"CODE NOT FOUND"))</f>
        <v/>
      </c>
      <c r="L477" s="31" t="str">
        <f t="shared" si="21"/>
        <v/>
      </c>
      <c r="M477" s="31" t="str">
        <f>IF(OR(J477="",C477&lt;&gt;"League",L477&lt;&gt;"VALID"),"",COUNTIFS($J$6:J477,J477,$G$6:G477,G477,$C$6:C477,"League"))</f>
        <v/>
      </c>
      <c r="N477" s="31" t="str">
        <f t="shared" si="22"/>
        <v/>
      </c>
      <c r="O477" s="37" t="str">
        <f t="shared" si="23"/>
        <v/>
      </c>
    </row>
    <row r="478" spans="1:15" ht="15">
      <c r="A478" s="30">
        <v>99</v>
      </c>
      <c r="B478" s="31" t="s">
        <v>500</v>
      </c>
      <c r="C478" s="31" t="s">
        <v>473</v>
      </c>
      <c r="D478" s="31" t="s">
        <v>471</v>
      </c>
      <c r="E478" s="31" t="s">
        <v>477</v>
      </c>
      <c r="F478" s="31" t="str">
        <f>IF(H478=1,INDEX('Match Results'!$G$6:$G$185,MATCH(A478,'Match Results'!$A$6:$A$185,0)),INDEX('Match Results'!$H$6:$H$185,MATCH(A478,'Match Results'!$A$6:$A$185,0)))</f>
        <v>B1</v>
      </c>
      <c r="G478" s="31" t="str">
        <f>IF(H478=1,INDEX('Match Results'!$H$6:$H$185,MATCH(A478,'Match Results'!$A$6:$A$185,0)),INDEX('Match Results'!$G$6:$G$185,MATCH(A478,'Match Results'!$A$6:$A$185,0)))</f>
        <v>B2</v>
      </c>
      <c r="H478" s="31">
        <v>1</v>
      </c>
      <c r="I478" s="31">
        <v>1</v>
      </c>
      <c r="J478" s="32"/>
      <c r="K478" s="31" t="str">
        <f>IF(J478="","",IFERROR(INDEX('Team Rosters'!$C$6:$C$205,MATCH(J478,'Team Rosters'!$B$6:$B$205,0)),"CODE NOT FOUND"))</f>
        <v/>
      </c>
      <c r="L478" s="31" t="str">
        <f t="shared" si="21"/>
        <v/>
      </c>
      <c r="M478" s="31" t="str">
        <f>IF(OR(J478="",C478&lt;&gt;"League",L478&lt;&gt;"VALID"),"",COUNTIFS($J$6:J478,J478,$G$6:G478,G478,$C$6:C478,"League"))</f>
        <v/>
      </c>
      <c r="N478" s="31" t="str">
        <f t="shared" si="22"/>
        <v/>
      </c>
      <c r="O478" s="37" t="str">
        <f t="shared" si="23"/>
        <v/>
      </c>
    </row>
    <row r="479" spans="1:15" ht="15">
      <c r="A479" s="30">
        <v>99</v>
      </c>
      <c r="B479" s="31" t="s">
        <v>500</v>
      </c>
      <c r="C479" s="31" t="s">
        <v>473</v>
      </c>
      <c r="D479" s="31" t="s">
        <v>471</v>
      </c>
      <c r="E479" s="31" t="s">
        <v>477</v>
      </c>
      <c r="F479" s="31" t="str">
        <f>IF(H479=1,INDEX('Match Results'!$G$6:$G$185,MATCH(A479,'Match Results'!$A$6:$A$185,0)),INDEX('Match Results'!$H$6:$H$185,MATCH(A479,'Match Results'!$A$6:$A$185,0)))</f>
        <v>B1</v>
      </c>
      <c r="G479" s="31" t="str">
        <f>IF(H479=1,INDEX('Match Results'!$H$6:$H$185,MATCH(A479,'Match Results'!$A$6:$A$185,0)),INDEX('Match Results'!$G$6:$G$185,MATCH(A479,'Match Results'!$A$6:$A$185,0)))</f>
        <v>B2</v>
      </c>
      <c r="H479" s="31">
        <v>1</v>
      </c>
      <c r="I479" s="31">
        <v>2</v>
      </c>
      <c r="J479" s="32"/>
      <c r="K479" s="31" t="str">
        <f>IF(J479="","",IFERROR(INDEX('Team Rosters'!$C$6:$C$205,MATCH(J479,'Team Rosters'!$B$6:$B$205,0)),"CODE NOT FOUND"))</f>
        <v/>
      </c>
      <c r="L479" s="31" t="str">
        <f t="shared" si="21"/>
        <v/>
      </c>
      <c r="M479" s="31" t="str">
        <f>IF(OR(J479="",C479&lt;&gt;"League",L479&lt;&gt;"VALID"),"",COUNTIFS($J$6:J479,J479,$G$6:G479,G479,$C$6:C479,"League"))</f>
        <v/>
      </c>
      <c r="N479" s="31" t="str">
        <f t="shared" si="22"/>
        <v/>
      </c>
      <c r="O479" s="37" t="str">
        <f t="shared" si="23"/>
        <v/>
      </c>
    </row>
    <row r="480" spans="1:15" ht="15">
      <c r="A480" s="30">
        <v>99</v>
      </c>
      <c r="B480" s="31" t="s">
        <v>500</v>
      </c>
      <c r="C480" s="31" t="s">
        <v>473</v>
      </c>
      <c r="D480" s="31" t="s">
        <v>471</v>
      </c>
      <c r="E480" s="31" t="s">
        <v>477</v>
      </c>
      <c r="F480" s="31" t="str">
        <f>IF(H480=1,INDEX('Match Results'!$G$6:$G$185,MATCH(A480,'Match Results'!$A$6:$A$185,0)),INDEX('Match Results'!$H$6:$H$185,MATCH(A480,'Match Results'!$A$6:$A$185,0)))</f>
        <v>B2</v>
      </c>
      <c r="G480" s="31" t="str">
        <f>IF(H480=1,INDEX('Match Results'!$H$6:$H$185,MATCH(A480,'Match Results'!$A$6:$A$185,0)),INDEX('Match Results'!$G$6:$G$185,MATCH(A480,'Match Results'!$A$6:$A$185,0)))</f>
        <v>B1</v>
      </c>
      <c r="H480" s="31">
        <v>2</v>
      </c>
      <c r="I480" s="31">
        <v>3</v>
      </c>
      <c r="J480" s="32"/>
      <c r="K480" s="31" t="str">
        <f>IF(J480="","",IFERROR(INDEX('Team Rosters'!$C$6:$C$205,MATCH(J480,'Team Rosters'!$B$6:$B$205,0)),"CODE NOT FOUND"))</f>
        <v/>
      </c>
      <c r="L480" s="31" t="str">
        <f t="shared" si="21"/>
        <v/>
      </c>
      <c r="M480" s="31" t="str">
        <f>IF(OR(J480="",C480&lt;&gt;"League",L480&lt;&gt;"VALID"),"",COUNTIFS($J$6:J480,J480,$G$6:G480,G480,$C$6:C480,"League"))</f>
        <v/>
      </c>
      <c r="N480" s="31" t="str">
        <f t="shared" si="22"/>
        <v/>
      </c>
      <c r="O480" s="37" t="str">
        <f t="shared" si="23"/>
        <v/>
      </c>
    </row>
    <row r="481" spans="1:15" ht="15">
      <c r="A481" s="30">
        <v>99</v>
      </c>
      <c r="B481" s="31" t="s">
        <v>500</v>
      </c>
      <c r="C481" s="31" t="s">
        <v>473</v>
      </c>
      <c r="D481" s="31" t="s">
        <v>471</v>
      </c>
      <c r="E481" s="31" t="s">
        <v>477</v>
      </c>
      <c r="F481" s="31" t="str">
        <f>IF(H481=1,INDEX('Match Results'!$G$6:$G$185,MATCH(A481,'Match Results'!$A$6:$A$185,0)),INDEX('Match Results'!$H$6:$H$185,MATCH(A481,'Match Results'!$A$6:$A$185,0)))</f>
        <v>B2</v>
      </c>
      <c r="G481" s="31" t="str">
        <f>IF(H481=1,INDEX('Match Results'!$H$6:$H$185,MATCH(A481,'Match Results'!$A$6:$A$185,0)),INDEX('Match Results'!$G$6:$G$185,MATCH(A481,'Match Results'!$A$6:$A$185,0)))</f>
        <v>B1</v>
      </c>
      <c r="H481" s="31">
        <v>2</v>
      </c>
      <c r="I481" s="31">
        <v>4</v>
      </c>
      <c r="J481" s="32"/>
      <c r="K481" s="31" t="str">
        <f>IF(J481="","",IFERROR(INDEX('Team Rosters'!$C$6:$C$205,MATCH(J481,'Team Rosters'!$B$6:$B$205,0)),"CODE NOT FOUND"))</f>
        <v/>
      </c>
      <c r="L481" s="31" t="str">
        <f t="shared" si="21"/>
        <v/>
      </c>
      <c r="M481" s="31" t="str">
        <f>IF(OR(J481="",C481&lt;&gt;"League",L481&lt;&gt;"VALID"),"",COUNTIFS($J$6:J481,J481,$G$6:G481,G481,$C$6:C481,"League"))</f>
        <v/>
      </c>
      <c r="N481" s="31" t="str">
        <f t="shared" si="22"/>
        <v/>
      </c>
      <c r="O481" s="37" t="str">
        <f t="shared" si="23"/>
        <v/>
      </c>
    </row>
    <row r="482" spans="1:15" ht="15">
      <c r="A482" s="30">
        <v>100</v>
      </c>
      <c r="B482" s="31" t="s">
        <v>500</v>
      </c>
      <c r="C482" s="31" t="s">
        <v>473</v>
      </c>
      <c r="D482" s="31" t="s">
        <v>479</v>
      </c>
      <c r="E482" s="31" t="s">
        <v>477</v>
      </c>
      <c r="F482" s="31" t="str">
        <f>IF(H482=1,INDEX('Match Results'!$G$6:$G$185,MATCH(A482,'Match Results'!$A$6:$A$185,0)),INDEX('Match Results'!$H$6:$H$185,MATCH(A482,'Match Results'!$A$6:$A$185,0)))</f>
        <v>A1</v>
      </c>
      <c r="G482" s="31" t="str">
        <f>IF(H482=1,INDEX('Match Results'!$H$6:$H$185,MATCH(A482,'Match Results'!$A$6:$A$185,0)),INDEX('Match Results'!$G$6:$G$185,MATCH(A482,'Match Results'!$A$6:$A$185,0)))</f>
        <v>A3</v>
      </c>
      <c r="H482" s="31">
        <v>1</v>
      </c>
      <c r="I482" s="31">
        <v>1</v>
      </c>
      <c r="J482" s="32"/>
      <c r="K482" s="31" t="str">
        <f>IF(J482="","",IFERROR(INDEX('Team Rosters'!$C$6:$C$205,MATCH(J482,'Team Rosters'!$B$6:$B$205,0)),"CODE NOT FOUND"))</f>
        <v/>
      </c>
      <c r="L482" s="31" t="str">
        <f t="shared" si="21"/>
        <v/>
      </c>
      <c r="M482" s="31" t="str">
        <f>IF(OR(J482="",C482&lt;&gt;"League",L482&lt;&gt;"VALID"),"",COUNTIFS($J$6:J482,J482,$G$6:G482,G482,$C$6:C482,"League"))</f>
        <v/>
      </c>
      <c r="N482" s="31" t="str">
        <f t="shared" si="22"/>
        <v/>
      </c>
      <c r="O482" s="37" t="str">
        <f t="shared" si="23"/>
        <v/>
      </c>
    </row>
    <row r="483" spans="1:15" ht="15">
      <c r="A483" s="30">
        <v>100</v>
      </c>
      <c r="B483" s="31" t="s">
        <v>500</v>
      </c>
      <c r="C483" s="31" t="s">
        <v>473</v>
      </c>
      <c r="D483" s="31" t="s">
        <v>479</v>
      </c>
      <c r="E483" s="31" t="s">
        <v>477</v>
      </c>
      <c r="F483" s="31" t="str">
        <f>IF(H483=1,INDEX('Match Results'!$G$6:$G$185,MATCH(A483,'Match Results'!$A$6:$A$185,0)),INDEX('Match Results'!$H$6:$H$185,MATCH(A483,'Match Results'!$A$6:$A$185,0)))</f>
        <v>A1</v>
      </c>
      <c r="G483" s="31" t="str">
        <f>IF(H483=1,INDEX('Match Results'!$H$6:$H$185,MATCH(A483,'Match Results'!$A$6:$A$185,0)),INDEX('Match Results'!$G$6:$G$185,MATCH(A483,'Match Results'!$A$6:$A$185,0)))</f>
        <v>A3</v>
      </c>
      <c r="H483" s="31">
        <v>1</v>
      </c>
      <c r="I483" s="31">
        <v>2</v>
      </c>
      <c r="J483" s="32"/>
      <c r="K483" s="31" t="str">
        <f>IF(J483="","",IFERROR(INDEX('Team Rosters'!$C$6:$C$205,MATCH(J483,'Team Rosters'!$B$6:$B$205,0)),"CODE NOT FOUND"))</f>
        <v/>
      </c>
      <c r="L483" s="31" t="str">
        <f t="shared" si="21"/>
        <v/>
      </c>
      <c r="M483" s="31" t="str">
        <f>IF(OR(J483="",C483&lt;&gt;"League",L483&lt;&gt;"VALID"),"",COUNTIFS($J$6:J483,J483,$G$6:G483,G483,$C$6:C483,"League"))</f>
        <v/>
      </c>
      <c r="N483" s="31" t="str">
        <f t="shared" si="22"/>
        <v/>
      </c>
      <c r="O483" s="37" t="str">
        <f t="shared" si="23"/>
        <v/>
      </c>
    </row>
    <row r="484" spans="1:15" ht="15">
      <c r="A484" s="30">
        <v>100</v>
      </c>
      <c r="B484" s="31" t="s">
        <v>500</v>
      </c>
      <c r="C484" s="31" t="s">
        <v>473</v>
      </c>
      <c r="D484" s="31" t="s">
        <v>479</v>
      </c>
      <c r="E484" s="31" t="s">
        <v>477</v>
      </c>
      <c r="F484" s="31" t="str">
        <f>IF(H484=1,INDEX('Match Results'!$G$6:$G$185,MATCH(A484,'Match Results'!$A$6:$A$185,0)),INDEX('Match Results'!$H$6:$H$185,MATCH(A484,'Match Results'!$A$6:$A$185,0)))</f>
        <v>A3</v>
      </c>
      <c r="G484" s="31" t="str">
        <f>IF(H484=1,INDEX('Match Results'!$H$6:$H$185,MATCH(A484,'Match Results'!$A$6:$A$185,0)),INDEX('Match Results'!$G$6:$G$185,MATCH(A484,'Match Results'!$A$6:$A$185,0)))</f>
        <v>A1</v>
      </c>
      <c r="H484" s="31">
        <v>2</v>
      </c>
      <c r="I484" s="31">
        <v>3</v>
      </c>
      <c r="J484" s="32"/>
      <c r="K484" s="31" t="str">
        <f>IF(J484="","",IFERROR(INDEX('Team Rosters'!$C$6:$C$205,MATCH(J484,'Team Rosters'!$B$6:$B$205,0)),"CODE NOT FOUND"))</f>
        <v/>
      </c>
      <c r="L484" s="31" t="str">
        <f t="shared" si="21"/>
        <v/>
      </c>
      <c r="M484" s="31" t="str">
        <f>IF(OR(J484="",C484&lt;&gt;"League",L484&lt;&gt;"VALID"),"",COUNTIFS($J$6:J484,J484,$G$6:G484,G484,$C$6:C484,"League"))</f>
        <v/>
      </c>
      <c r="N484" s="31" t="str">
        <f t="shared" si="22"/>
        <v/>
      </c>
      <c r="O484" s="37" t="str">
        <f t="shared" si="23"/>
        <v/>
      </c>
    </row>
    <row r="485" spans="1:15" ht="15">
      <c r="A485" s="30">
        <v>100</v>
      </c>
      <c r="B485" s="31" t="s">
        <v>500</v>
      </c>
      <c r="C485" s="31" t="s">
        <v>473</v>
      </c>
      <c r="D485" s="31" t="s">
        <v>479</v>
      </c>
      <c r="E485" s="31" t="s">
        <v>477</v>
      </c>
      <c r="F485" s="31" t="str">
        <f>IF(H485=1,INDEX('Match Results'!$G$6:$G$185,MATCH(A485,'Match Results'!$A$6:$A$185,0)),INDEX('Match Results'!$H$6:$H$185,MATCH(A485,'Match Results'!$A$6:$A$185,0)))</f>
        <v>A3</v>
      </c>
      <c r="G485" s="31" t="str">
        <f>IF(H485=1,INDEX('Match Results'!$H$6:$H$185,MATCH(A485,'Match Results'!$A$6:$A$185,0)),INDEX('Match Results'!$G$6:$G$185,MATCH(A485,'Match Results'!$A$6:$A$185,0)))</f>
        <v>A1</v>
      </c>
      <c r="H485" s="31">
        <v>2</v>
      </c>
      <c r="I485" s="31">
        <v>4</v>
      </c>
      <c r="J485" s="32"/>
      <c r="K485" s="31" t="str">
        <f>IF(J485="","",IFERROR(INDEX('Team Rosters'!$C$6:$C$205,MATCH(J485,'Team Rosters'!$B$6:$B$205,0)),"CODE NOT FOUND"))</f>
        <v/>
      </c>
      <c r="L485" s="31" t="str">
        <f t="shared" si="21"/>
        <v/>
      </c>
      <c r="M485" s="31" t="str">
        <f>IF(OR(J485="",C485&lt;&gt;"League",L485&lt;&gt;"VALID"),"",COUNTIFS($J$6:J485,J485,$G$6:G485,G485,$C$6:C485,"League"))</f>
        <v/>
      </c>
      <c r="N485" s="31" t="str">
        <f t="shared" si="22"/>
        <v/>
      </c>
      <c r="O485" s="37" t="str">
        <f t="shared" si="23"/>
        <v/>
      </c>
    </row>
    <row r="486" spans="1:15" ht="15">
      <c r="A486" s="30">
        <v>101</v>
      </c>
      <c r="B486" s="31" t="s">
        <v>500</v>
      </c>
      <c r="C486" s="31" t="s">
        <v>473</v>
      </c>
      <c r="D486" s="31" t="s">
        <v>479</v>
      </c>
      <c r="E486" s="31" t="s">
        <v>475</v>
      </c>
      <c r="F486" s="31" t="str">
        <f>IF(H486=1,INDEX('Match Results'!$G$6:$G$185,MATCH(A486,'Match Results'!$A$6:$A$185,0)),INDEX('Match Results'!$H$6:$H$185,MATCH(A486,'Match Results'!$A$6:$A$185,0)))</f>
        <v>A2</v>
      </c>
      <c r="G486" s="31" t="str">
        <f>IF(H486=1,INDEX('Match Results'!$H$6:$H$185,MATCH(A486,'Match Results'!$A$6:$A$185,0)),INDEX('Match Results'!$G$6:$G$185,MATCH(A486,'Match Results'!$A$6:$A$185,0)))</f>
        <v>A4</v>
      </c>
      <c r="H486" s="31">
        <v>1</v>
      </c>
      <c r="I486" s="31">
        <v>1</v>
      </c>
      <c r="J486" s="32"/>
      <c r="K486" s="31" t="str">
        <f>IF(J486="","",IFERROR(INDEX('Team Rosters'!$C$6:$C$205,MATCH(J486,'Team Rosters'!$B$6:$B$205,0)),"CODE NOT FOUND"))</f>
        <v/>
      </c>
      <c r="L486" s="31" t="str">
        <f t="shared" si="21"/>
        <v/>
      </c>
      <c r="M486" s="31" t="str">
        <f>IF(OR(J486="",C486&lt;&gt;"League",L486&lt;&gt;"VALID"),"",COUNTIFS($J$6:J486,J486,$G$6:G486,G486,$C$6:C486,"League"))</f>
        <v/>
      </c>
      <c r="N486" s="31" t="str">
        <f t="shared" si="22"/>
        <v/>
      </c>
      <c r="O486" s="37" t="str">
        <f t="shared" si="23"/>
        <v/>
      </c>
    </row>
    <row r="487" spans="1:15" ht="15">
      <c r="A487" s="30">
        <v>101</v>
      </c>
      <c r="B487" s="31" t="s">
        <v>500</v>
      </c>
      <c r="C487" s="31" t="s">
        <v>473</v>
      </c>
      <c r="D487" s="31" t="s">
        <v>479</v>
      </c>
      <c r="E487" s="31" t="s">
        <v>475</v>
      </c>
      <c r="F487" s="31" t="str">
        <f>IF(H487=1,INDEX('Match Results'!$G$6:$G$185,MATCH(A487,'Match Results'!$A$6:$A$185,0)),INDEX('Match Results'!$H$6:$H$185,MATCH(A487,'Match Results'!$A$6:$A$185,0)))</f>
        <v>A2</v>
      </c>
      <c r="G487" s="31" t="str">
        <f>IF(H487=1,INDEX('Match Results'!$H$6:$H$185,MATCH(A487,'Match Results'!$A$6:$A$185,0)),INDEX('Match Results'!$G$6:$G$185,MATCH(A487,'Match Results'!$A$6:$A$185,0)))</f>
        <v>A4</v>
      </c>
      <c r="H487" s="31">
        <v>1</v>
      </c>
      <c r="I487" s="31">
        <v>2</v>
      </c>
      <c r="J487" s="32"/>
      <c r="K487" s="31" t="str">
        <f>IF(J487="","",IFERROR(INDEX('Team Rosters'!$C$6:$C$205,MATCH(J487,'Team Rosters'!$B$6:$B$205,0)),"CODE NOT FOUND"))</f>
        <v/>
      </c>
      <c r="L487" s="31" t="str">
        <f t="shared" si="21"/>
        <v/>
      </c>
      <c r="M487" s="31" t="str">
        <f>IF(OR(J487="",C487&lt;&gt;"League",L487&lt;&gt;"VALID"),"",COUNTIFS($J$6:J487,J487,$G$6:G487,G487,$C$6:C487,"League"))</f>
        <v/>
      </c>
      <c r="N487" s="31" t="str">
        <f t="shared" si="22"/>
        <v/>
      </c>
      <c r="O487" s="37" t="str">
        <f t="shared" si="23"/>
        <v/>
      </c>
    </row>
    <row r="488" spans="1:15" ht="15">
      <c r="A488" s="30">
        <v>101</v>
      </c>
      <c r="B488" s="31" t="s">
        <v>500</v>
      </c>
      <c r="C488" s="31" t="s">
        <v>473</v>
      </c>
      <c r="D488" s="31" t="s">
        <v>479</v>
      </c>
      <c r="E488" s="31" t="s">
        <v>475</v>
      </c>
      <c r="F488" s="31" t="str">
        <f>IF(H488=1,INDEX('Match Results'!$G$6:$G$185,MATCH(A488,'Match Results'!$A$6:$A$185,0)),INDEX('Match Results'!$H$6:$H$185,MATCH(A488,'Match Results'!$A$6:$A$185,0)))</f>
        <v>A4</v>
      </c>
      <c r="G488" s="31" t="str">
        <f>IF(H488=1,INDEX('Match Results'!$H$6:$H$185,MATCH(A488,'Match Results'!$A$6:$A$185,0)),INDEX('Match Results'!$G$6:$G$185,MATCH(A488,'Match Results'!$A$6:$A$185,0)))</f>
        <v>A2</v>
      </c>
      <c r="H488" s="31">
        <v>2</v>
      </c>
      <c r="I488" s="31">
        <v>3</v>
      </c>
      <c r="J488" s="49"/>
      <c r="K488" s="31" t="str">
        <f>IF(J488="","",IFERROR(INDEX('Team Rosters'!$C$6:$C$205,MATCH(J488,'Team Rosters'!$B$6:$B$205,0)),"CODE NOT FOUND"))</f>
        <v/>
      </c>
      <c r="L488" s="31" t="str">
        <f t="shared" si="21"/>
        <v/>
      </c>
      <c r="M488" s="31" t="str">
        <f>IF(OR(J488="",C488&lt;&gt;"League",L488&lt;&gt;"VALID"),"",COUNTIFS($J$6:J488,J488,$G$6:G488,G488,$C$6:C488,"League"))</f>
        <v/>
      </c>
      <c r="N488" s="31" t="str">
        <f t="shared" si="22"/>
        <v/>
      </c>
      <c r="O488" s="37" t="str">
        <f t="shared" si="23"/>
        <v/>
      </c>
    </row>
    <row r="489" spans="1:15" ht="15">
      <c r="A489" s="30">
        <v>101</v>
      </c>
      <c r="B489" s="31" t="s">
        <v>500</v>
      </c>
      <c r="C489" s="31" t="s">
        <v>473</v>
      </c>
      <c r="D489" s="31" t="s">
        <v>479</v>
      </c>
      <c r="E489" s="31" t="s">
        <v>475</v>
      </c>
      <c r="F489" s="31" t="str">
        <f>IF(H489=1,INDEX('Match Results'!$G$6:$G$185,MATCH(A489,'Match Results'!$A$6:$A$185,0)),INDEX('Match Results'!$H$6:$H$185,MATCH(A489,'Match Results'!$A$6:$A$185,0)))</f>
        <v>A4</v>
      </c>
      <c r="G489" s="31" t="str">
        <f>IF(H489=1,INDEX('Match Results'!$H$6:$H$185,MATCH(A489,'Match Results'!$A$6:$A$185,0)),INDEX('Match Results'!$G$6:$G$185,MATCH(A489,'Match Results'!$A$6:$A$185,0)))</f>
        <v>A2</v>
      </c>
      <c r="H489" s="31">
        <v>2</v>
      </c>
      <c r="I489" s="31">
        <v>4</v>
      </c>
      <c r="J489" s="49"/>
      <c r="K489" s="31" t="str">
        <f>IF(J489="","",IFERROR(INDEX('Team Rosters'!$C$6:$C$205,MATCH(J489,'Team Rosters'!$B$6:$B$205,0)),"CODE NOT FOUND"))</f>
        <v/>
      </c>
      <c r="L489" s="31" t="str">
        <f t="shared" si="21"/>
        <v/>
      </c>
      <c r="M489" s="31" t="str">
        <f>IF(OR(J489="",C489&lt;&gt;"League",L489&lt;&gt;"VALID"),"",COUNTIFS($J$6:J489,J489,$G$6:G489,G489,$C$6:C489,"League"))</f>
        <v/>
      </c>
      <c r="N489" s="31" t="str">
        <f t="shared" si="22"/>
        <v/>
      </c>
      <c r="O489" s="37" t="str">
        <f t="shared" si="23"/>
        <v/>
      </c>
    </row>
    <row r="490" spans="1:15" ht="15">
      <c r="A490" s="30">
        <v>102</v>
      </c>
      <c r="B490" s="31" t="s">
        <v>500</v>
      </c>
      <c r="C490" s="31" t="s">
        <v>473</v>
      </c>
      <c r="D490" s="31" t="s">
        <v>479</v>
      </c>
      <c r="E490" s="31" t="s">
        <v>472</v>
      </c>
      <c r="F490" s="31" t="str">
        <f>IF(H490=1,INDEX('Match Results'!$G$6:$G$185,MATCH(A490,'Match Results'!$A$6:$A$185,0)),INDEX('Match Results'!$H$6:$H$185,MATCH(A490,'Match Results'!$A$6:$A$185,0)))</f>
        <v>B3</v>
      </c>
      <c r="G490" s="31" t="str">
        <f>IF(H490=1,INDEX('Match Results'!$H$6:$H$185,MATCH(A490,'Match Results'!$A$6:$A$185,0)),INDEX('Match Results'!$G$6:$G$185,MATCH(A490,'Match Results'!$A$6:$A$185,0)))</f>
        <v>B4</v>
      </c>
      <c r="H490" s="31">
        <v>1</v>
      </c>
      <c r="I490" s="31">
        <v>1</v>
      </c>
      <c r="J490" s="32"/>
      <c r="K490" s="31" t="str">
        <f>IF(J490="","",IFERROR(INDEX('Team Rosters'!$C$6:$C$205,MATCH(J490,'Team Rosters'!$B$6:$B$205,0)),"CODE NOT FOUND"))</f>
        <v/>
      </c>
      <c r="L490" s="31" t="str">
        <f t="shared" si="21"/>
        <v/>
      </c>
      <c r="M490" s="31" t="str">
        <f>IF(OR(J490="",C490&lt;&gt;"League",L490&lt;&gt;"VALID"),"",COUNTIFS($J$6:J490,J490,$G$6:G490,G490,$C$6:C490,"League"))</f>
        <v/>
      </c>
      <c r="N490" s="31" t="str">
        <f t="shared" si="22"/>
        <v/>
      </c>
      <c r="O490" s="37" t="str">
        <f t="shared" si="23"/>
        <v/>
      </c>
    </row>
    <row r="491" spans="1:15" ht="15">
      <c r="A491" s="30">
        <v>102</v>
      </c>
      <c r="B491" s="31" t="s">
        <v>500</v>
      </c>
      <c r="C491" s="31" t="s">
        <v>473</v>
      </c>
      <c r="D491" s="31" t="s">
        <v>479</v>
      </c>
      <c r="E491" s="31" t="s">
        <v>472</v>
      </c>
      <c r="F491" s="31" t="str">
        <f>IF(H491=1,INDEX('Match Results'!$G$6:$G$185,MATCH(A491,'Match Results'!$A$6:$A$185,0)),INDEX('Match Results'!$H$6:$H$185,MATCH(A491,'Match Results'!$A$6:$A$185,0)))</f>
        <v>B3</v>
      </c>
      <c r="G491" s="31" t="str">
        <f>IF(H491=1,INDEX('Match Results'!$H$6:$H$185,MATCH(A491,'Match Results'!$A$6:$A$185,0)),INDEX('Match Results'!$G$6:$G$185,MATCH(A491,'Match Results'!$A$6:$A$185,0)))</f>
        <v>B4</v>
      </c>
      <c r="H491" s="31">
        <v>1</v>
      </c>
      <c r="I491" s="31">
        <v>2</v>
      </c>
      <c r="J491" s="32"/>
      <c r="K491" s="31" t="str">
        <f>IF(J491="","",IFERROR(INDEX('Team Rosters'!$C$6:$C$205,MATCH(J491,'Team Rosters'!$B$6:$B$205,0)),"CODE NOT FOUND"))</f>
        <v/>
      </c>
      <c r="L491" s="31" t="str">
        <f t="shared" si="21"/>
        <v/>
      </c>
      <c r="M491" s="31" t="str">
        <f>IF(OR(J491="",C491&lt;&gt;"League",L491&lt;&gt;"VALID"),"",COUNTIFS($J$6:J491,J491,$G$6:G491,G491,$C$6:C491,"League"))</f>
        <v/>
      </c>
      <c r="N491" s="31" t="str">
        <f t="shared" si="22"/>
        <v/>
      </c>
      <c r="O491" s="37" t="str">
        <f t="shared" si="23"/>
        <v/>
      </c>
    </row>
    <row r="492" spans="1:15" ht="15">
      <c r="A492" s="30">
        <v>102</v>
      </c>
      <c r="B492" s="31" t="s">
        <v>500</v>
      </c>
      <c r="C492" s="31" t="s">
        <v>473</v>
      </c>
      <c r="D492" s="31" t="s">
        <v>479</v>
      </c>
      <c r="E492" s="31" t="s">
        <v>472</v>
      </c>
      <c r="F492" s="31" t="str">
        <f>IF(H492=1,INDEX('Match Results'!$G$6:$G$185,MATCH(A492,'Match Results'!$A$6:$A$185,0)),INDEX('Match Results'!$H$6:$H$185,MATCH(A492,'Match Results'!$A$6:$A$185,0)))</f>
        <v>B4</v>
      </c>
      <c r="G492" s="31" t="str">
        <f>IF(H492=1,INDEX('Match Results'!$H$6:$H$185,MATCH(A492,'Match Results'!$A$6:$A$185,0)),INDEX('Match Results'!$G$6:$G$185,MATCH(A492,'Match Results'!$A$6:$A$185,0)))</f>
        <v>B3</v>
      </c>
      <c r="H492" s="31">
        <v>2</v>
      </c>
      <c r="I492" s="31">
        <v>3</v>
      </c>
      <c r="J492" s="32"/>
      <c r="K492" s="31" t="str">
        <f>IF(J492="","",IFERROR(INDEX('Team Rosters'!$C$6:$C$205,MATCH(J492,'Team Rosters'!$B$6:$B$205,0)),"CODE NOT FOUND"))</f>
        <v/>
      </c>
      <c r="L492" s="31" t="str">
        <f t="shared" si="21"/>
        <v/>
      </c>
      <c r="M492" s="31" t="str">
        <f>IF(OR(J492="",C492&lt;&gt;"League",L492&lt;&gt;"VALID"),"",COUNTIFS($J$6:J492,J492,$G$6:G492,G492,$C$6:C492,"League"))</f>
        <v/>
      </c>
      <c r="N492" s="31" t="str">
        <f t="shared" si="22"/>
        <v/>
      </c>
      <c r="O492" s="37" t="str">
        <f t="shared" si="23"/>
        <v/>
      </c>
    </row>
    <row r="493" spans="1:15" ht="15">
      <c r="A493" s="30">
        <v>102</v>
      </c>
      <c r="B493" s="31" t="s">
        <v>500</v>
      </c>
      <c r="C493" s="31" t="s">
        <v>473</v>
      </c>
      <c r="D493" s="31" t="s">
        <v>479</v>
      </c>
      <c r="E493" s="31" t="s">
        <v>472</v>
      </c>
      <c r="F493" s="31" t="str">
        <f>IF(H493=1,INDEX('Match Results'!$G$6:$G$185,MATCH(A493,'Match Results'!$A$6:$A$185,0)),INDEX('Match Results'!$H$6:$H$185,MATCH(A493,'Match Results'!$A$6:$A$185,0)))</f>
        <v>B4</v>
      </c>
      <c r="G493" s="31" t="str">
        <f>IF(H493=1,INDEX('Match Results'!$H$6:$H$185,MATCH(A493,'Match Results'!$A$6:$A$185,0)),INDEX('Match Results'!$G$6:$G$185,MATCH(A493,'Match Results'!$A$6:$A$185,0)))</f>
        <v>B3</v>
      </c>
      <c r="H493" s="31">
        <v>2</v>
      </c>
      <c r="I493" s="31">
        <v>4</v>
      </c>
      <c r="J493" s="32"/>
      <c r="K493" s="31" t="str">
        <f>IF(J493="","",IFERROR(INDEX('Team Rosters'!$C$6:$C$205,MATCH(J493,'Team Rosters'!$B$6:$B$205,0)),"CODE NOT FOUND"))</f>
        <v/>
      </c>
      <c r="L493" s="31" t="str">
        <f t="shared" si="21"/>
        <v/>
      </c>
      <c r="M493" s="31" t="str">
        <f>IF(OR(J493="",C493&lt;&gt;"League",L493&lt;&gt;"VALID"),"",COUNTIFS($J$6:J493,J493,$G$6:G493,G493,$C$6:C493,"League"))</f>
        <v/>
      </c>
      <c r="N493" s="31" t="str">
        <f t="shared" si="22"/>
        <v/>
      </c>
      <c r="O493" s="37" t="str">
        <f t="shared" si="23"/>
        <v/>
      </c>
    </row>
    <row r="494" spans="1:15" ht="15">
      <c r="A494" s="30">
        <v>103</v>
      </c>
      <c r="B494" s="31" t="s">
        <v>500</v>
      </c>
      <c r="C494" s="31" t="s">
        <v>473</v>
      </c>
      <c r="D494" s="31" t="s">
        <v>483</v>
      </c>
      <c r="E494" s="31" t="s">
        <v>477</v>
      </c>
      <c r="F494" s="31" t="str">
        <f>IF(H494=1,INDEX('Match Results'!$G$6:$G$185,MATCH(A494,'Match Results'!$A$6:$A$185,0)),INDEX('Match Results'!$H$6:$H$185,MATCH(A494,'Match Results'!$A$6:$A$185,0)))</f>
        <v>B1</v>
      </c>
      <c r="G494" s="31" t="str">
        <f>IF(H494=1,INDEX('Match Results'!$H$6:$H$185,MATCH(A494,'Match Results'!$A$6:$A$185,0)),INDEX('Match Results'!$G$6:$G$185,MATCH(A494,'Match Results'!$A$6:$A$185,0)))</f>
        <v>B3</v>
      </c>
      <c r="H494" s="31">
        <v>1</v>
      </c>
      <c r="I494" s="31">
        <v>1</v>
      </c>
      <c r="J494" s="32"/>
      <c r="K494" s="31" t="str">
        <f>IF(J494="","",IFERROR(INDEX('Team Rosters'!$C$6:$C$205,MATCH(J494,'Team Rosters'!$B$6:$B$205,0)),"CODE NOT FOUND"))</f>
        <v/>
      </c>
      <c r="L494" s="31" t="str">
        <f t="shared" si="21"/>
        <v/>
      </c>
      <c r="M494" s="31" t="str">
        <f>IF(OR(J494="",C494&lt;&gt;"League",L494&lt;&gt;"VALID"),"",COUNTIFS($J$6:J494,J494,$G$6:G494,G494,$C$6:C494,"League"))</f>
        <v/>
      </c>
      <c r="N494" s="31" t="str">
        <f t="shared" si="22"/>
        <v/>
      </c>
      <c r="O494" s="37" t="str">
        <f t="shared" si="23"/>
        <v/>
      </c>
    </row>
    <row r="495" spans="1:15" ht="15">
      <c r="A495" s="30">
        <v>103</v>
      </c>
      <c r="B495" s="31" t="s">
        <v>500</v>
      </c>
      <c r="C495" s="31" t="s">
        <v>473</v>
      </c>
      <c r="D495" s="31" t="s">
        <v>483</v>
      </c>
      <c r="E495" s="31" t="s">
        <v>477</v>
      </c>
      <c r="F495" s="31" t="str">
        <f>IF(H495=1,INDEX('Match Results'!$G$6:$G$185,MATCH(A495,'Match Results'!$A$6:$A$185,0)),INDEX('Match Results'!$H$6:$H$185,MATCH(A495,'Match Results'!$A$6:$A$185,0)))</f>
        <v>B1</v>
      </c>
      <c r="G495" s="31" t="str">
        <f>IF(H495=1,INDEX('Match Results'!$H$6:$H$185,MATCH(A495,'Match Results'!$A$6:$A$185,0)),INDEX('Match Results'!$G$6:$G$185,MATCH(A495,'Match Results'!$A$6:$A$185,0)))</f>
        <v>B3</v>
      </c>
      <c r="H495" s="31">
        <v>1</v>
      </c>
      <c r="I495" s="31">
        <v>2</v>
      </c>
      <c r="J495" s="32"/>
      <c r="K495" s="31" t="str">
        <f>IF(J495="","",IFERROR(INDEX('Team Rosters'!$C$6:$C$205,MATCH(J495,'Team Rosters'!$B$6:$B$205,0)),"CODE NOT FOUND"))</f>
        <v/>
      </c>
      <c r="L495" s="31" t="str">
        <f t="shared" si="21"/>
        <v/>
      </c>
      <c r="M495" s="31" t="str">
        <f>IF(OR(J495="",C495&lt;&gt;"League",L495&lt;&gt;"VALID"),"",COUNTIFS($J$6:J495,J495,$G$6:G495,G495,$C$6:C495,"League"))</f>
        <v/>
      </c>
      <c r="N495" s="31" t="str">
        <f t="shared" si="22"/>
        <v/>
      </c>
      <c r="O495" s="37" t="str">
        <f t="shared" si="23"/>
        <v/>
      </c>
    </row>
    <row r="496" spans="1:15" ht="15">
      <c r="A496" s="30">
        <v>103</v>
      </c>
      <c r="B496" s="31" t="s">
        <v>500</v>
      </c>
      <c r="C496" s="31" t="s">
        <v>473</v>
      </c>
      <c r="D496" s="31" t="s">
        <v>483</v>
      </c>
      <c r="E496" s="31" t="s">
        <v>477</v>
      </c>
      <c r="F496" s="31" t="str">
        <f>IF(H496=1,INDEX('Match Results'!$G$6:$G$185,MATCH(A496,'Match Results'!$A$6:$A$185,0)),INDEX('Match Results'!$H$6:$H$185,MATCH(A496,'Match Results'!$A$6:$A$185,0)))</f>
        <v>B3</v>
      </c>
      <c r="G496" s="31" t="str">
        <f>IF(H496=1,INDEX('Match Results'!$H$6:$H$185,MATCH(A496,'Match Results'!$A$6:$A$185,0)),INDEX('Match Results'!$G$6:$G$185,MATCH(A496,'Match Results'!$A$6:$A$185,0)))</f>
        <v>B1</v>
      </c>
      <c r="H496" s="31">
        <v>2</v>
      </c>
      <c r="I496" s="31">
        <v>3</v>
      </c>
      <c r="J496" s="32"/>
      <c r="K496" s="31" t="str">
        <f>IF(J496="","",IFERROR(INDEX('Team Rosters'!$C$6:$C$205,MATCH(J496,'Team Rosters'!$B$6:$B$205,0)),"CODE NOT FOUND"))</f>
        <v/>
      </c>
      <c r="L496" s="31" t="str">
        <f t="shared" si="21"/>
        <v/>
      </c>
      <c r="M496" s="31" t="str">
        <f>IF(OR(J496="",C496&lt;&gt;"League",L496&lt;&gt;"VALID"),"",COUNTIFS($J$6:J496,J496,$G$6:G496,G496,$C$6:C496,"League"))</f>
        <v/>
      </c>
      <c r="N496" s="31" t="str">
        <f t="shared" si="22"/>
        <v/>
      </c>
      <c r="O496" s="37" t="str">
        <f t="shared" si="23"/>
        <v/>
      </c>
    </row>
    <row r="497" spans="1:15" ht="15">
      <c r="A497" s="30">
        <v>103</v>
      </c>
      <c r="B497" s="31" t="s">
        <v>500</v>
      </c>
      <c r="C497" s="31" t="s">
        <v>473</v>
      </c>
      <c r="D497" s="31" t="s">
        <v>483</v>
      </c>
      <c r="E497" s="31" t="s">
        <v>477</v>
      </c>
      <c r="F497" s="31" t="str">
        <f>IF(H497=1,INDEX('Match Results'!$G$6:$G$185,MATCH(A497,'Match Results'!$A$6:$A$185,0)),INDEX('Match Results'!$H$6:$H$185,MATCH(A497,'Match Results'!$A$6:$A$185,0)))</f>
        <v>B3</v>
      </c>
      <c r="G497" s="31" t="str">
        <f>IF(H497=1,INDEX('Match Results'!$H$6:$H$185,MATCH(A497,'Match Results'!$A$6:$A$185,0)),INDEX('Match Results'!$G$6:$G$185,MATCH(A497,'Match Results'!$A$6:$A$185,0)))</f>
        <v>B1</v>
      </c>
      <c r="H497" s="31">
        <v>2</v>
      </c>
      <c r="I497" s="31">
        <v>4</v>
      </c>
      <c r="J497" s="32"/>
      <c r="K497" s="31" t="str">
        <f>IF(J497="","",IFERROR(INDEX('Team Rosters'!$C$6:$C$205,MATCH(J497,'Team Rosters'!$B$6:$B$205,0)),"CODE NOT FOUND"))</f>
        <v/>
      </c>
      <c r="L497" s="31" t="str">
        <f t="shared" si="21"/>
        <v/>
      </c>
      <c r="M497" s="31" t="str">
        <f>IF(OR(J497="",C497&lt;&gt;"League",L497&lt;&gt;"VALID"),"",COUNTIFS($J$6:J497,J497,$G$6:G497,G497,$C$6:C497,"League"))</f>
        <v/>
      </c>
      <c r="N497" s="31" t="str">
        <f t="shared" si="22"/>
        <v/>
      </c>
      <c r="O497" s="37" t="str">
        <f t="shared" si="23"/>
        <v/>
      </c>
    </row>
    <row r="498" spans="1:15" ht="15">
      <c r="A498" s="30">
        <v>104</v>
      </c>
      <c r="B498" s="31" t="s">
        <v>500</v>
      </c>
      <c r="C498" s="31" t="s">
        <v>473</v>
      </c>
      <c r="D498" s="31" t="s">
        <v>483</v>
      </c>
      <c r="E498" s="31" t="s">
        <v>472</v>
      </c>
      <c r="F498" s="31" t="str">
        <f>IF(H498=1,INDEX('Match Results'!$G$6:$G$185,MATCH(A498,'Match Results'!$A$6:$A$185,0)),INDEX('Match Results'!$H$6:$H$185,MATCH(A498,'Match Results'!$A$6:$A$185,0)))</f>
        <v>B2</v>
      </c>
      <c r="G498" s="31" t="str">
        <f>IF(H498=1,INDEX('Match Results'!$H$6:$H$185,MATCH(A498,'Match Results'!$A$6:$A$185,0)),INDEX('Match Results'!$G$6:$G$185,MATCH(A498,'Match Results'!$A$6:$A$185,0)))</f>
        <v>B4</v>
      </c>
      <c r="H498" s="31">
        <v>1</v>
      </c>
      <c r="I498" s="31">
        <v>1</v>
      </c>
      <c r="J498" s="32"/>
      <c r="K498" s="31" t="str">
        <f>IF(J498="","",IFERROR(INDEX('Team Rosters'!$C$6:$C$205,MATCH(J498,'Team Rosters'!$B$6:$B$205,0)),"CODE NOT FOUND"))</f>
        <v/>
      </c>
      <c r="L498" s="31" t="str">
        <f t="shared" si="21"/>
        <v/>
      </c>
      <c r="M498" s="31" t="str">
        <f>IF(OR(J498="",C498&lt;&gt;"League",L498&lt;&gt;"VALID"),"",COUNTIFS($J$6:J498,J498,$G$6:G498,G498,$C$6:C498,"League"))</f>
        <v/>
      </c>
      <c r="N498" s="31" t="str">
        <f t="shared" si="22"/>
        <v/>
      </c>
      <c r="O498" s="37" t="str">
        <f t="shared" si="23"/>
        <v/>
      </c>
    </row>
    <row r="499" spans="1:15" ht="15">
      <c r="A499" s="30">
        <v>104</v>
      </c>
      <c r="B499" s="31" t="s">
        <v>500</v>
      </c>
      <c r="C499" s="31" t="s">
        <v>473</v>
      </c>
      <c r="D499" s="31" t="s">
        <v>483</v>
      </c>
      <c r="E499" s="31" t="s">
        <v>472</v>
      </c>
      <c r="F499" s="31" t="str">
        <f>IF(H499=1,INDEX('Match Results'!$G$6:$G$185,MATCH(A499,'Match Results'!$A$6:$A$185,0)),INDEX('Match Results'!$H$6:$H$185,MATCH(A499,'Match Results'!$A$6:$A$185,0)))</f>
        <v>B2</v>
      </c>
      <c r="G499" s="31" t="str">
        <f>IF(H499=1,INDEX('Match Results'!$H$6:$H$185,MATCH(A499,'Match Results'!$A$6:$A$185,0)),INDEX('Match Results'!$G$6:$G$185,MATCH(A499,'Match Results'!$A$6:$A$185,0)))</f>
        <v>B4</v>
      </c>
      <c r="H499" s="31">
        <v>1</v>
      </c>
      <c r="I499" s="31">
        <v>2</v>
      </c>
      <c r="J499" s="32"/>
      <c r="K499" s="31" t="str">
        <f>IF(J499="","",IFERROR(INDEX('Team Rosters'!$C$6:$C$205,MATCH(J499,'Team Rosters'!$B$6:$B$205,0)),"CODE NOT FOUND"))</f>
        <v/>
      </c>
      <c r="L499" s="31" t="str">
        <f t="shared" si="21"/>
        <v/>
      </c>
      <c r="M499" s="31" t="str">
        <f>IF(OR(J499="",C499&lt;&gt;"League",L499&lt;&gt;"VALID"),"",COUNTIFS($J$6:J499,J499,$G$6:G499,G499,$C$6:C499,"League"))</f>
        <v/>
      </c>
      <c r="N499" s="31" t="str">
        <f t="shared" si="22"/>
        <v/>
      </c>
      <c r="O499" s="37" t="str">
        <f t="shared" si="23"/>
        <v/>
      </c>
    </row>
    <row r="500" spans="1:15" ht="15">
      <c r="A500" s="30">
        <v>104</v>
      </c>
      <c r="B500" s="31" t="s">
        <v>500</v>
      </c>
      <c r="C500" s="31" t="s">
        <v>473</v>
      </c>
      <c r="D500" s="31" t="s">
        <v>483</v>
      </c>
      <c r="E500" s="31" t="s">
        <v>472</v>
      </c>
      <c r="F500" s="31" t="str">
        <f>IF(H500=1,INDEX('Match Results'!$G$6:$G$185,MATCH(A500,'Match Results'!$A$6:$A$185,0)),INDEX('Match Results'!$H$6:$H$185,MATCH(A500,'Match Results'!$A$6:$A$185,0)))</f>
        <v>B4</v>
      </c>
      <c r="G500" s="31" t="str">
        <f>IF(H500=1,INDEX('Match Results'!$H$6:$H$185,MATCH(A500,'Match Results'!$A$6:$A$185,0)),INDEX('Match Results'!$G$6:$G$185,MATCH(A500,'Match Results'!$A$6:$A$185,0)))</f>
        <v>B2</v>
      </c>
      <c r="H500" s="31">
        <v>2</v>
      </c>
      <c r="I500" s="31">
        <v>3</v>
      </c>
      <c r="J500" s="32"/>
      <c r="K500" s="31" t="str">
        <f>IF(J500="","",IFERROR(INDEX('Team Rosters'!$C$6:$C$205,MATCH(J500,'Team Rosters'!$B$6:$B$205,0)),"CODE NOT FOUND"))</f>
        <v/>
      </c>
      <c r="L500" s="31" t="str">
        <f t="shared" si="21"/>
        <v/>
      </c>
      <c r="M500" s="31" t="str">
        <f>IF(OR(J500="",C500&lt;&gt;"League",L500&lt;&gt;"VALID"),"",COUNTIFS($J$6:J500,J500,$G$6:G500,G500,$C$6:C500,"League"))</f>
        <v/>
      </c>
      <c r="N500" s="31" t="str">
        <f t="shared" si="22"/>
        <v/>
      </c>
      <c r="O500" s="37" t="str">
        <f t="shared" si="23"/>
        <v/>
      </c>
    </row>
    <row r="501" spans="1:15" ht="15">
      <c r="A501" s="30">
        <v>104</v>
      </c>
      <c r="B501" s="31" t="s">
        <v>500</v>
      </c>
      <c r="C501" s="31" t="s">
        <v>473</v>
      </c>
      <c r="D501" s="31" t="s">
        <v>483</v>
      </c>
      <c r="E501" s="31" t="s">
        <v>472</v>
      </c>
      <c r="F501" s="31" t="str">
        <f>IF(H501=1,INDEX('Match Results'!$G$6:$G$185,MATCH(A501,'Match Results'!$A$6:$A$185,0)),INDEX('Match Results'!$H$6:$H$185,MATCH(A501,'Match Results'!$A$6:$A$185,0)))</f>
        <v>B4</v>
      </c>
      <c r="G501" s="31" t="str">
        <f>IF(H501=1,INDEX('Match Results'!$H$6:$H$185,MATCH(A501,'Match Results'!$A$6:$A$185,0)),INDEX('Match Results'!$G$6:$G$185,MATCH(A501,'Match Results'!$A$6:$A$185,0)))</f>
        <v>B2</v>
      </c>
      <c r="H501" s="31">
        <v>2</v>
      </c>
      <c r="I501" s="31">
        <v>4</v>
      </c>
      <c r="J501" s="32"/>
      <c r="K501" s="31" t="str">
        <f>IF(J501="","",IFERROR(INDEX('Team Rosters'!$C$6:$C$205,MATCH(J501,'Team Rosters'!$B$6:$B$205,0)),"CODE NOT FOUND"))</f>
        <v/>
      </c>
      <c r="L501" s="31" t="str">
        <f t="shared" si="21"/>
        <v/>
      </c>
      <c r="M501" s="31" t="str">
        <f>IF(OR(J501="",C501&lt;&gt;"League",L501&lt;&gt;"VALID"),"",COUNTIFS($J$6:J501,J501,$G$6:G501,G501,$C$6:C501,"League"))</f>
        <v/>
      </c>
      <c r="N501" s="31" t="str">
        <f t="shared" si="22"/>
        <v/>
      </c>
      <c r="O501" s="37" t="str">
        <f t="shared" si="23"/>
        <v/>
      </c>
    </row>
    <row r="502" spans="1:15" ht="15">
      <c r="A502" s="30">
        <v>105</v>
      </c>
      <c r="B502" s="31" t="s">
        <v>500</v>
      </c>
      <c r="C502" s="31" t="s">
        <v>473</v>
      </c>
      <c r="D502" s="31" t="s">
        <v>486</v>
      </c>
      <c r="E502" s="31" t="s">
        <v>472</v>
      </c>
      <c r="F502" s="31" t="str">
        <f>IF(H502=1,INDEX('Match Results'!$G$6:$G$185,MATCH(A502,'Match Results'!$A$6:$A$185,0)),INDEX('Match Results'!$H$6:$H$185,MATCH(A502,'Match Results'!$A$6:$A$185,0)))</f>
        <v>A1</v>
      </c>
      <c r="G502" s="31" t="str">
        <f>IF(H502=1,INDEX('Match Results'!$H$6:$H$185,MATCH(A502,'Match Results'!$A$6:$A$185,0)),INDEX('Match Results'!$G$6:$G$185,MATCH(A502,'Match Results'!$A$6:$A$185,0)))</f>
        <v>A2</v>
      </c>
      <c r="H502" s="31">
        <v>1</v>
      </c>
      <c r="I502" s="31">
        <v>1</v>
      </c>
      <c r="J502" s="32"/>
      <c r="K502" s="31" t="str">
        <f>IF(J502="","",IFERROR(INDEX('Team Rosters'!$C$6:$C$205,MATCH(J502,'Team Rosters'!$B$6:$B$205,0)),"CODE NOT FOUND"))</f>
        <v/>
      </c>
      <c r="L502" s="31" t="str">
        <f t="shared" si="21"/>
        <v/>
      </c>
      <c r="M502" s="31" t="str">
        <f>IF(OR(J502="",C502&lt;&gt;"League",L502&lt;&gt;"VALID"),"",COUNTIFS($J$6:J502,J502,$G$6:G502,G502,$C$6:C502,"League"))</f>
        <v/>
      </c>
      <c r="N502" s="31" t="str">
        <f t="shared" si="22"/>
        <v/>
      </c>
      <c r="O502" s="37" t="str">
        <f t="shared" si="23"/>
        <v/>
      </c>
    </row>
    <row r="503" spans="1:15" ht="15">
      <c r="A503" s="30">
        <v>105</v>
      </c>
      <c r="B503" s="31" t="s">
        <v>500</v>
      </c>
      <c r="C503" s="31" t="s">
        <v>473</v>
      </c>
      <c r="D503" s="31" t="s">
        <v>486</v>
      </c>
      <c r="E503" s="31" t="s">
        <v>472</v>
      </c>
      <c r="F503" s="31" t="str">
        <f>IF(H503=1,INDEX('Match Results'!$G$6:$G$185,MATCH(A503,'Match Results'!$A$6:$A$185,0)),INDEX('Match Results'!$H$6:$H$185,MATCH(A503,'Match Results'!$A$6:$A$185,0)))</f>
        <v>A1</v>
      </c>
      <c r="G503" s="31" t="str">
        <f>IF(H503=1,INDEX('Match Results'!$H$6:$H$185,MATCH(A503,'Match Results'!$A$6:$A$185,0)),INDEX('Match Results'!$G$6:$G$185,MATCH(A503,'Match Results'!$A$6:$A$185,0)))</f>
        <v>A2</v>
      </c>
      <c r="H503" s="31">
        <v>1</v>
      </c>
      <c r="I503" s="31">
        <v>2</v>
      </c>
      <c r="J503" s="32"/>
      <c r="K503" s="31" t="str">
        <f>IF(J503="","",IFERROR(INDEX('Team Rosters'!$C$6:$C$205,MATCH(J503,'Team Rosters'!$B$6:$B$205,0)),"CODE NOT FOUND"))</f>
        <v/>
      </c>
      <c r="L503" s="31" t="str">
        <f t="shared" si="21"/>
        <v/>
      </c>
      <c r="M503" s="31" t="str">
        <f>IF(OR(J503="",C503&lt;&gt;"League",L503&lt;&gt;"VALID"),"",COUNTIFS($J$6:J503,J503,$G$6:G503,G503,$C$6:C503,"League"))</f>
        <v/>
      </c>
      <c r="N503" s="31" t="str">
        <f t="shared" si="22"/>
        <v/>
      </c>
      <c r="O503" s="37" t="str">
        <f t="shared" si="23"/>
        <v/>
      </c>
    </row>
    <row r="504" spans="1:15" ht="15">
      <c r="A504" s="30">
        <v>105</v>
      </c>
      <c r="B504" s="31" t="s">
        <v>500</v>
      </c>
      <c r="C504" s="31" t="s">
        <v>473</v>
      </c>
      <c r="D504" s="31" t="s">
        <v>486</v>
      </c>
      <c r="E504" s="31" t="s">
        <v>472</v>
      </c>
      <c r="F504" s="31" t="str">
        <f>IF(H504=1,INDEX('Match Results'!$G$6:$G$185,MATCH(A504,'Match Results'!$A$6:$A$185,0)),INDEX('Match Results'!$H$6:$H$185,MATCH(A504,'Match Results'!$A$6:$A$185,0)))</f>
        <v>A2</v>
      </c>
      <c r="G504" s="31" t="str">
        <f>IF(H504=1,INDEX('Match Results'!$H$6:$H$185,MATCH(A504,'Match Results'!$A$6:$A$185,0)),INDEX('Match Results'!$G$6:$G$185,MATCH(A504,'Match Results'!$A$6:$A$185,0)))</f>
        <v>A1</v>
      </c>
      <c r="H504" s="31">
        <v>2</v>
      </c>
      <c r="I504" s="31">
        <v>3</v>
      </c>
      <c r="J504" s="32"/>
      <c r="K504" s="31" t="str">
        <f>IF(J504="","",IFERROR(INDEX('Team Rosters'!$C$6:$C$205,MATCH(J504,'Team Rosters'!$B$6:$B$205,0)),"CODE NOT FOUND"))</f>
        <v/>
      </c>
      <c r="L504" s="31" t="str">
        <f t="shared" si="21"/>
        <v/>
      </c>
      <c r="M504" s="31" t="str">
        <f>IF(OR(J504="",C504&lt;&gt;"League",L504&lt;&gt;"VALID"),"",COUNTIFS($J$6:J504,J504,$G$6:G504,G504,$C$6:C504,"League"))</f>
        <v/>
      </c>
      <c r="N504" s="31" t="str">
        <f t="shared" si="22"/>
        <v/>
      </c>
      <c r="O504" s="37" t="str">
        <f t="shared" si="23"/>
        <v/>
      </c>
    </row>
    <row r="505" spans="1:15" ht="15">
      <c r="A505" s="30">
        <v>105</v>
      </c>
      <c r="B505" s="31" t="s">
        <v>500</v>
      </c>
      <c r="C505" s="31" t="s">
        <v>473</v>
      </c>
      <c r="D505" s="31" t="s">
        <v>486</v>
      </c>
      <c r="E505" s="31" t="s">
        <v>472</v>
      </c>
      <c r="F505" s="31" t="str">
        <f>IF(H505=1,INDEX('Match Results'!$G$6:$G$185,MATCH(A505,'Match Results'!$A$6:$A$185,0)),INDEX('Match Results'!$H$6:$H$185,MATCH(A505,'Match Results'!$A$6:$A$185,0)))</f>
        <v>A2</v>
      </c>
      <c r="G505" s="31" t="str">
        <f>IF(H505=1,INDEX('Match Results'!$H$6:$H$185,MATCH(A505,'Match Results'!$A$6:$A$185,0)),INDEX('Match Results'!$G$6:$G$185,MATCH(A505,'Match Results'!$A$6:$A$185,0)))</f>
        <v>A1</v>
      </c>
      <c r="H505" s="31">
        <v>2</v>
      </c>
      <c r="I505" s="31">
        <v>4</v>
      </c>
      <c r="J505" s="32"/>
      <c r="K505" s="31" t="str">
        <f>IF(J505="","",IFERROR(INDEX('Team Rosters'!$C$6:$C$205,MATCH(J505,'Team Rosters'!$B$6:$B$205,0)),"CODE NOT FOUND"))</f>
        <v/>
      </c>
      <c r="L505" s="31" t="str">
        <f t="shared" si="21"/>
        <v/>
      </c>
      <c r="M505" s="31" t="str">
        <f>IF(OR(J505="",C505&lt;&gt;"League",L505&lt;&gt;"VALID"),"",COUNTIFS($J$6:J505,J505,$G$6:G505,G505,$C$6:C505,"League"))</f>
        <v/>
      </c>
      <c r="N505" s="31" t="str">
        <f t="shared" si="22"/>
        <v/>
      </c>
      <c r="O505" s="37" t="str">
        <f t="shared" si="23"/>
        <v/>
      </c>
    </row>
    <row r="506" spans="1:15" ht="15">
      <c r="A506" s="30">
        <v>106</v>
      </c>
      <c r="B506" s="31" t="s">
        <v>500</v>
      </c>
      <c r="C506" s="31" t="s">
        <v>473</v>
      </c>
      <c r="D506" s="31" t="s">
        <v>486</v>
      </c>
      <c r="E506" s="31" t="s">
        <v>475</v>
      </c>
      <c r="F506" s="31" t="str">
        <f>IF(H506=1,INDEX('Match Results'!$G$6:$G$185,MATCH(A506,'Match Results'!$A$6:$A$185,0)),INDEX('Match Results'!$H$6:$H$185,MATCH(A506,'Match Results'!$A$6:$A$185,0)))</f>
        <v>A3</v>
      </c>
      <c r="G506" s="31" t="str">
        <f>IF(H506=1,INDEX('Match Results'!$H$6:$H$185,MATCH(A506,'Match Results'!$A$6:$A$185,0)),INDEX('Match Results'!$G$6:$G$185,MATCH(A506,'Match Results'!$A$6:$A$185,0)))</f>
        <v>A4</v>
      </c>
      <c r="H506" s="31">
        <v>1</v>
      </c>
      <c r="I506" s="31">
        <v>1</v>
      </c>
      <c r="J506" s="32"/>
      <c r="K506" s="31" t="str">
        <f>IF(J506="","",IFERROR(INDEX('Team Rosters'!$C$6:$C$205,MATCH(J506,'Team Rosters'!$B$6:$B$205,0)),"CODE NOT FOUND"))</f>
        <v/>
      </c>
      <c r="L506" s="31" t="str">
        <f t="shared" si="21"/>
        <v/>
      </c>
      <c r="M506" s="31" t="str">
        <f>IF(OR(J506="",C506&lt;&gt;"League",L506&lt;&gt;"VALID"),"",COUNTIFS($J$6:J506,J506,$G$6:G506,G506,$C$6:C506,"League"))</f>
        <v/>
      </c>
      <c r="N506" s="31" t="str">
        <f t="shared" si="22"/>
        <v/>
      </c>
      <c r="O506" s="37" t="str">
        <f t="shared" si="23"/>
        <v/>
      </c>
    </row>
    <row r="507" spans="1:15" ht="15">
      <c r="A507" s="30">
        <v>106</v>
      </c>
      <c r="B507" s="31" t="s">
        <v>500</v>
      </c>
      <c r="C507" s="31" t="s">
        <v>473</v>
      </c>
      <c r="D507" s="31" t="s">
        <v>486</v>
      </c>
      <c r="E507" s="31" t="s">
        <v>475</v>
      </c>
      <c r="F507" s="31" t="str">
        <f>IF(H507=1,INDEX('Match Results'!$G$6:$G$185,MATCH(A507,'Match Results'!$A$6:$A$185,0)),INDEX('Match Results'!$H$6:$H$185,MATCH(A507,'Match Results'!$A$6:$A$185,0)))</f>
        <v>A3</v>
      </c>
      <c r="G507" s="31" t="str">
        <f>IF(H507=1,INDEX('Match Results'!$H$6:$H$185,MATCH(A507,'Match Results'!$A$6:$A$185,0)),INDEX('Match Results'!$G$6:$G$185,MATCH(A507,'Match Results'!$A$6:$A$185,0)))</f>
        <v>A4</v>
      </c>
      <c r="H507" s="31">
        <v>1</v>
      </c>
      <c r="I507" s="31">
        <v>2</v>
      </c>
      <c r="J507" s="32"/>
      <c r="K507" s="31" t="str">
        <f>IF(J507="","",IFERROR(INDEX('Team Rosters'!$C$6:$C$205,MATCH(J507,'Team Rosters'!$B$6:$B$205,0)),"CODE NOT FOUND"))</f>
        <v/>
      </c>
      <c r="L507" s="31" t="str">
        <f t="shared" si="21"/>
        <v/>
      </c>
      <c r="M507" s="31" t="str">
        <f>IF(OR(J507="",C507&lt;&gt;"League",L507&lt;&gt;"VALID"),"",COUNTIFS($J$6:J507,J507,$G$6:G507,G507,$C$6:C507,"League"))</f>
        <v/>
      </c>
      <c r="N507" s="31" t="str">
        <f t="shared" si="22"/>
        <v/>
      </c>
      <c r="O507" s="37" t="str">
        <f t="shared" si="23"/>
        <v/>
      </c>
    </row>
    <row r="508" spans="1:15" ht="15">
      <c r="A508" s="30">
        <v>106</v>
      </c>
      <c r="B508" s="31" t="s">
        <v>500</v>
      </c>
      <c r="C508" s="31" t="s">
        <v>473</v>
      </c>
      <c r="D508" s="31" t="s">
        <v>486</v>
      </c>
      <c r="E508" s="31" t="s">
        <v>475</v>
      </c>
      <c r="F508" s="31" t="str">
        <f>IF(H508=1,INDEX('Match Results'!$G$6:$G$185,MATCH(A508,'Match Results'!$A$6:$A$185,0)),INDEX('Match Results'!$H$6:$H$185,MATCH(A508,'Match Results'!$A$6:$A$185,0)))</f>
        <v>A4</v>
      </c>
      <c r="G508" s="31" t="str">
        <f>IF(H508=1,INDEX('Match Results'!$H$6:$H$185,MATCH(A508,'Match Results'!$A$6:$A$185,0)),INDEX('Match Results'!$G$6:$G$185,MATCH(A508,'Match Results'!$A$6:$A$185,0)))</f>
        <v>A3</v>
      </c>
      <c r="H508" s="31">
        <v>2</v>
      </c>
      <c r="I508" s="31">
        <v>3</v>
      </c>
      <c r="J508" s="49"/>
      <c r="K508" s="31" t="str">
        <f>IF(J508="","",IFERROR(INDEX('Team Rosters'!$C$6:$C$205,MATCH(J508,'Team Rosters'!$B$6:$B$205,0)),"CODE NOT FOUND"))</f>
        <v/>
      </c>
      <c r="L508" s="31" t="str">
        <f t="shared" si="21"/>
        <v/>
      </c>
      <c r="M508" s="31" t="str">
        <f>IF(OR(J508="",C508&lt;&gt;"League",L508&lt;&gt;"VALID"),"",COUNTIFS($J$6:J508,J508,$G$6:G508,G508,$C$6:C508,"League"))</f>
        <v/>
      </c>
      <c r="N508" s="31" t="str">
        <f t="shared" si="22"/>
        <v/>
      </c>
      <c r="O508" s="37" t="str">
        <f t="shared" si="23"/>
        <v/>
      </c>
    </row>
    <row r="509" spans="1:15" ht="15">
      <c r="A509" s="30">
        <v>106</v>
      </c>
      <c r="B509" s="31" t="s">
        <v>500</v>
      </c>
      <c r="C509" s="31" t="s">
        <v>473</v>
      </c>
      <c r="D509" s="31" t="s">
        <v>486</v>
      </c>
      <c r="E509" s="31" t="s">
        <v>475</v>
      </c>
      <c r="F509" s="31" t="str">
        <f>IF(H509=1,INDEX('Match Results'!$G$6:$G$185,MATCH(A509,'Match Results'!$A$6:$A$185,0)),INDEX('Match Results'!$H$6:$H$185,MATCH(A509,'Match Results'!$A$6:$A$185,0)))</f>
        <v>A4</v>
      </c>
      <c r="G509" s="31" t="str">
        <f>IF(H509=1,INDEX('Match Results'!$H$6:$H$185,MATCH(A509,'Match Results'!$A$6:$A$185,0)),INDEX('Match Results'!$G$6:$G$185,MATCH(A509,'Match Results'!$A$6:$A$185,0)))</f>
        <v>A3</v>
      </c>
      <c r="H509" s="31">
        <v>2</v>
      </c>
      <c r="I509" s="31">
        <v>4</v>
      </c>
      <c r="J509" s="50"/>
      <c r="K509" s="31" t="str">
        <f>IF(J509="","",IFERROR(INDEX('Team Rosters'!$C$6:$C$205,MATCH(J509,'Team Rosters'!$B$6:$B$205,0)),"CODE NOT FOUND"))</f>
        <v/>
      </c>
      <c r="L509" s="31" t="str">
        <f t="shared" si="21"/>
        <v/>
      </c>
      <c r="M509" s="31" t="str">
        <f>IF(OR(J509="",C509&lt;&gt;"League",L509&lt;&gt;"VALID"),"",COUNTIFS($J$6:J509,J509,$G$6:G509,G509,$C$6:C509,"League"))</f>
        <v/>
      </c>
      <c r="N509" s="31" t="str">
        <f t="shared" si="22"/>
        <v/>
      </c>
      <c r="O509" s="37" t="str">
        <f t="shared" si="23"/>
        <v/>
      </c>
    </row>
    <row r="510" spans="1:15" ht="15">
      <c r="A510" s="30">
        <v>107</v>
      </c>
      <c r="B510" s="31" t="s">
        <v>500</v>
      </c>
      <c r="C510" s="31" t="s">
        <v>473</v>
      </c>
      <c r="D510" s="31" t="s">
        <v>486</v>
      </c>
      <c r="E510" s="31" t="s">
        <v>477</v>
      </c>
      <c r="F510" s="31" t="str">
        <f>IF(H510=1,INDEX('Match Results'!$G$6:$G$185,MATCH(A510,'Match Results'!$A$6:$A$185,0)),INDEX('Match Results'!$H$6:$H$185,MATCH(A510,'Match Results'!$A$6:$A$185,0)))</f>
        <v>B1</v>
      </c>
      <c r="G510" s="31" t="str">
        <f>IF(H510=1,INDEX('Match Results'!$H$6:$H$185,MATCH(A510,'Match Results'!$A$6:$A$185,0)),INDEX('Match Results'!$G$6:$G$185,MATCH(A510,'Match Results'!$A$6:$A$185,0)))</f>
        <v>B4</v>
      </c>
      <c r="H510" s="31">
        <v>1</v>
      </c>
      <c r="I510" s="31">
        <v>1</v>
      </c>
      <c r="J510" s="32"/>
      <c r="K510" s="31" t="str">
        <f>IF(J510="","",IFERROR(INDEX('Team Rosters'!$C$6:$C$205,MATCH(J510,'Team Rosters'!$B$6:$B$205,0)),"CODE NOT FOUND"))</f>
        <v/>
      </c>
      <c r="L510" s="31" t="str">
        <f t="shared" si="21"/>
        <v/>
      </c>
      <c r="M510" s="31" t="str">
        <f>IF(OR(J510="",C510&lt;&gt;"League",L510&lt;&gt;"VALID"),"",COUNTIFS($J$6:J510,J510,$G$6:G510,G510,$C$6:C510,"League"))</f>
        <v/>
      </c>
      <c r="N510" s="31" t="str">
        <f t="shared" si="22"/>
        <v/>
      </c>
      <c r="O510" s="37" t="str">
        <f t="shared" si="23"/>
        <v/>
      </c>
    </row>
    <row r="511" spans="1:15" ht="15">
      <c r="A511" s="30">
        <v>107</v>
      </c>
      <c r="B511" s="31" t="s">
        <v>500</v>
      </c>
      <c r="C511" s="31" t="s">
        <v>473</v>
      </c>
      <c r="D511" s="31" t="s">
        <v>486</v>
      </c>
      <c r="E511" s="31" t="s">
        <v>477</v>
      </c>
      <c r="F511" s="31" t="str">
        <f>IF(H511=1,INDEX('Match Results'!$G$6:$G$185,MATCH(A511,'Match Results'!$A$6:$A$185,0)),INDEX('Match Results'!$H$6:$H$185,MATCH(A511,'Match Results'!$A$6:$A$185,0)))</f>
        <v>B1</v>
      </c>
      <c r="G511" s="31" t="str">
        <f>IF(H511=1,INDEX('Match Results'!$H$6:$H$185,MATCH(A511,'Match Results'!$A$6:$A$185,0)),INDEX('Match Results'!$G$6:$G$185,MATCH(A511,'Match Results'!$A$6:$A$185,0)))</f>
        <v>B4</v>
      </c>
      <c r="H511" s="31">
        <v>1</v>
      </c>
      <c r="I511" s="31">
        <v>2</v>
      </c>
      <c r="J511" s="32"/>
      <c r="K511" s="31" t="str">
        <f>IF(J511="","",IFERROR(INDEX('Team Rosters'!$C$6:$C$205,MATCH(J511,'Team Rosters'!$B$6:$B$205,0)),"CODE NOT FOUND"))</f>
        <v/>
      </c>
      <c r="L511" s="31" t="str">
        <f t="shared" si="21"/>
        <v/>
      </c>
      <c r="M511" s="31" t="str">
        <f>IF(OR(J511="",C511&lt;&gt;"League",L511&lt;&gt;"VALID"),"",COUNTIFS($J$6:J511,J511,$G$6:G511,G511,$C$6:C511,"League"))</f>
        <v/>
      </c>
      <c r="N511" s="31" t="str">
        <f t="shared" si="22"/>
        <v/>
      </c>
      <c r="O511" s="37" t="str">
        <f t="shared" si="23"/>
        <v/>
      </c>
    </row>
    <row r="512" spans="1:15" ht="15">
      <c r="A512" s="30">
        <v>107</v>
      </c>
      <c r="B512" s="31" t="s">
        <v>500</v>
      </c>
      <c r="C512" s="31" t="s">
        <v>473</v>
      </c>
      <c r="D512" s="31" t="s">
        <v>486</v>
      </c>
      <c r="E512" s="31" t="s">
        <v>477</v>
      </c>
      <c r="F512" s="31" t="str">
        <f>IF(H512=1,INDEX('Match Results'!$G$6:$G$185,MATCH(A512,'Match Results'!$A$6:$A$185,0)),INDEX('Match Results'!$H$6:$H$185,MATCH(A512,'Match Results'!$A$6:$A$185,0)))</f>
        <v>B4</v>
      </c>
      <c r="G512" s="31" t="str">
        <f>IF(H512=1,INDEX('Match Results'!$H$6:$H$185,MATCH(A512,'Match Results'!$A$6:$A$185,0)),INDEX('Match Results'!$G$6:$G$185,MATCH(A512,'Match Results'!$A$6:$A$185,0)))</f>
        <v>B1</v>
      </c>
      <c r="H512" s="31">
        <v>2</v>
      </c>
      <c r="I512" s="31">
        <v>3</v>
      </c>
      <c r="J512" s="32"/>
      <c r="K512" s="31" t="str">
        <f>IF(J512="","",IFERROR(INDEX('Team Rosters'!$C$6:$C$205,MATCH(J512,'Team Rosters'!$B$6:$B$205,0)),"CODE NOT FOUND"))</f>
        <v/>
      </c>
      <c r="L512" s="31" t="str">
        <f t="shared" si="21"/>
        <v/>
      </c>
      <c r="M512" s="31" t="str">
        <f>IF(OR(J512="",C512&lt;&gt;"League",L512&lt;&gt;"VALID"),"",COUNTIFS($J$6:J512,J512,$G$6:G512,G512,$C$6:C512,"League"))</f>
        <v/>
      </c>
      <c r="N512" s="31" t="str">
        <f t="shared" si="22"/>
        <v/>
      </c>
      <c r="O512" s="37" t="str">
        <f t="shared" si="23"/>
        <v/>
      </c>
    </row>
    <row r="513" spans="1:15" ht="15">
      <c r="A513" s="30">
        <v>107</v>
      </c>
      <c r="B513" s="31" t="s">
        <v>500</v>
      </c>
      <c r="C513" s="31" t="s">
        <v>473</v>
      </c>
      <c r="D513" s="31" t="s">
        <v>486</v>
      </c>
      <c r="E513" s="31" t="s">
        <v>477</v>
      </c>
      <c r="F513" s="31" t="str">
        <f>IF(H513=1,INDEX('Match Results'!$G$6:$G$185,MATCH(A513,'Match Results'!$A$6:$A$185,0)),INDEX('Match Results'!$H$6:$H$185,MATCH(A513,'Match Results'!$A$6:$A$185,0)))</f>
        <v>B4</v>
      </c>
      <c r="G513" s="31" t="str">
        <f>IF(H513=1,INDEX('Match Results'!$H$6:$H$185,MATCH(A513,'Match Results'!$A$6:$A$185,0)),INDEX('Match Results'!$G$6:$G$185,MATCH(A513,'Match Results'!$A$6:$A$185,0)))</f>
        <v>B1</v>
      </c>
      <c r="H513" s="31">
        <v>2</v>
      </c>
      <c r="I513" s="31">
        <v>4</v>
      </c>
      <c r="J513" s="32"/>
      <c r="K513" s="31" t="str">
        <f>IF(J513="","",IFERROR(INDEX('Team Rosters'!$C$6:$C$205,MATCH(J513,'Team Rosters'!$B$6:$B$205,0)),"CODE NOT FOUND"))</f>
        <v/>
      </c>
      <c r="L513" s="31" t="str">
        <f t="shared" si="21"/>
        <v/>
      </c>
      <c r="M513" s="31" t="str">
        <f>IF(OR(J513="",C513&lt;&gt;"League",L513&lt;&gt;"VALID"),"",COUNTIFS($J$6:J513,J513,$G$6:G513,G513,$C$6:C513,"League"))</f>
        <v/>
      </c>
      <c r="N513" s="31" t="str">
        <f t="shared" si="22"/>
        <v/>
      </c>
      <c r="O513" s="37" t="str">
        <f t="shared" si="23"/>
        <v/>
      </c>
    </row>
    <row r="514" spans="1:15" ht="15">
      <c r="A514" s="30">
        <v>108</v>
      </c>
      <c r="B514" s="31" t="s">
        <v>500</v>
      </c>
      <c r="C514" s="31" t="s">
        <v>473</v>
      </c>
      <c r="D514" s="31" t="s">
        <v>490</v>
      </c>
      <c r="E514" s="31" t="s">
        <v>491</v>
      </c>
      <c r="F514" s="31" t="str">
        <f>IF(H514=1,INDEX('Match Results'!$G$6:$G$185,MATCH(A514,'Match Results'!$A$6:$A$185,0)),INDEX('Match Results'!$H$6:$H$185,MATCH(A514,'Match Results'!$A$6:$A$185,0)))</f>
        <v>B2</v>
      </c>
      <c r="G514" s="31" t="str">
        <f>IF(H514=1,INDEX('Match Results'!$H$6:$H$185,MATCH(A514,'Match Results'!$A$6:$A$185,0)),INDEX('Match Results'!$G$6:$G$185,MATCH(A514,'Match Results'!$A$6:$A$185,0)))</f>
        <v>B3</v>
      </c>
      <c r="H514" s="31">
        <v>1</v>
      </c>
      <c r="I514" s="31">
        <v>1</v>
      </c>
      <c r="J514" s="32"/>
      <c r="K514" s="31" t="str">
        <f>IF(J514="","",IFERROR(INDEX('Team Rosters'!$C$6:$C$205,MATCH(J514,'Team Rosters'!$B$6:$B$205,0)),"CODE NOT FOUND"))</f>
        <v/>
      </c>
      <c r="L514" s="31" t="str">
        <f t="shared" si="21"/>
        <v/>
      </c>
      <c r="M514" s="31" t="str">
        <f>IF(OR(J514="",C514&lt;&gt;"League",L514&lt;&gt;"VALID"),"",COUNTIFS($J$6:J514,J514,$G$6:G514,G514,$C$6:C514,"League"))</f>
        <v/>
      </c>
      <c r="N514" s="31" t="str">
        <f t="shared" si="22"/>
        <v/>
      </c>
      <c r="O514" s="37" t="str">
        <f t="shared" si="23"/>
        <v/>
      </c>
    </row>
    <row r="515" spans="1:15" ht="15">
      <c r="A515" s="30">
        <v>108</v>
      </c>
      <c r="B515" s="31" t="s">
        <v>500</v>
      </c>
      <c r="C515" s="31" t="s">
        <v>473</v>
      </c>
      <c r="D515" s="31" t="s">
        <v>490</v>
      </c>
      <c r="E515" s="31" t="s">
        <v>491</v>
      </c>
      <c r="F515" s="31" t="str">
        <f>IF(H515=1,INDEX('Match Results'!$G$6:$G$185,MATCH(A515,'Match Results'!$A$6:$A$185,0)),INDEX('Match Results'!$H$6:$H$185,MATCH(A515,'Match Results'!$A$6:$A$185,0)))</f>
        <v>B2</v>
      </c>
      <c r="G515" s="31" t="str">
        <f>IF(H515=1,INDEX('Match Results'!$H$6:$H$185,MATCH(A515,'Match Results'!$A$6:$A$185,0)),INDEX('Match Results'!$G$6:$G$185,MATCH(A515,'Match Results'!$A$6:$A$185,0)))</f>
        <v>B3</v>
      </c>
      <c r="H515" s="31">
        <v>1</v>
      </c>
      <c r="I515" s="31">
        <v>2</v>
      </c>
      <c r="J515" s="32"/>
      <c r="K515" s="31" t="str">
        <f>IF(J515="","",IFERROR(INDEX('Team Rosters'!$C$6:$C$205,MATCH(J515,'Team Rosters'!$B$6:$B$205,0)),"CODE NOT FOUND"))</f>
        <v/>
      </c>
      <c r="L515" s="31" t="str">
        <f t="shared" si="21"/>
        <v/>
      </c>
      <c r="M515" s="31" t="str">
        <f>IF(OR(J515="",C515&lt;&gt;"League",L515&lt;&gt;"VALID"),"",COUNTIFS($J$6:J515,J515,$G$6:G515,G515,$C$6:C515,"League"))</f>
        <v/>
      </c>
      <c r="N515" s="31" t="str">
        <f t="shared" si="22"/>
        <v/>
      </c>
      <c r="O515" s="37" t="str">
        <f t="shared" si="23"/>
        <v/>
      </c>
    </row>
    <row r="516" spans="1:15" ht="15">
      <c r="A516" s="30">
        <v>108</v>
      </c>
      <c r="B516" s="31" t="s">
        <v>500</v>
      </c>
      <c r="C516" s="31" t="s">
        <v>473</v>
      </c>
      <c r="D516" s="31" t="s">
        <v>490</v>
      </c>
      <c r="E516" s="31" t="s">
        <v>491</v>
      </c>
      <c r="F516" s="31" t="str">
        <f>IF(H516=1,INDEX('Match Results'!$G$6:$G$185,MATCH(A516,'Match Results'!$A$6:$A$185,0)),INDEX('Match Results'!$H$6:$H$185,MATCH(A516,'Match Results'!$A$6:$A$185,0)))</f>
        <v>B2</v>
      </c>
      <c r="G516" s="31" t="str">
        <f>IF(H516=1,INDEX('Match Results'!$H$6:$H$185,MATCH(A516,'Match Results'!$A$6:$A$185,0)),INDEX('Match Results'!$G$6:$G$185,MATCH(A516,'Match Results'!$A$6:$A$185,0)))</f>
        <v>B3</v>
      </c>
      <c r="H516" s="31">
        <v>1</v>
      </c>
      <c r="I516" s="31">
        <v>3</v>
      </c>
      <c r="J516" s="32"/>
      <c r="K516" s="31" t="str">
        <f>IF(J516="","",IFERROR(INDEX('Team Rosters'!$C$6:$C$205,MATCH(J516,'Team Rosters'!$B$6:$B$205,0)),"CODE NOT FOUND"))</f>
        <v/>
      </c>
      <c r="L516" s="31" t="str">
        <f t="shared" si="21"/>
        <v/>
      </c>
      <c r="M516" s="31" t="str">
        <f>IF(OR(J516="",C516&lt;&gt;"League",L516&lt;&gt;"VALID"),"",COUNTIFS($J$6:J516,J516,$G$6:G516,G516,$C$6:C516,"League"))</f>
        <v/>
      </c>
      <c r="N516" s="31" t="str">
        <f t="shared" si="22"/>
        <v/>
      </c>
      <c r="O516" s="37" t="str">
        <f t="shared" si="23"/>
        <v/>
      </c>
    </row>
    <row r="517" spans="1:15" ht="15">
      <c r="A517" s="30">
        <v>108</v>
      </c>
      <c r="B517" s="31" t="s">
        <v>500</v>
      </c>
      <c r="C517" s="31" t="s">
        <v>473</v>
      </c>
      <c r="D517" s="31" t="s">
        <v>490</v>
      </c>
      <c r="E517" s="31" t="s">
        <v>491</v>
      </c>
      <c r="F517" s="31" t="str">
        <f>IF(H517=1,INDEX('Match Results'!$G$6:$G$185,MATCH(A517,'Match Results'!$A$6:$A$185,0)),INDEX('Match Results'!$H$6:$H$185,MATCH(A517,'Match Results'!$A$6:$A$185,0)))</f>
        <v>B2</v>
      </c>
      <c r="G517" s="31" t="str">
        <f>IF(H517=1,INDEX('Match Results'!$H$6:$H$185,MATCH(A517,'Match Results'!$A$6:$A$185,0)),INDEX('Match Results'!$G$6:$G$185,MATCH(A517,'Match Results'!$A$6:$A$185,0)))</f>
        <v>B3</v>
      </c>
      <c r="H517" s="31">
        <v>1</v>
      </c>
      <c r="I517" s="31">
        <v>4</v>
      </c>
      <c r="J517" s="32"/>
      <c r="K517" s="31" t="str">
        <f>IF(J517="","",IFERROR(INDEX('Team Rosters'!$C$6:$C$205,MATCH(J517,'Team Rosters'!$B$6:$B$205,0)),"CODE NOT FOUND"))</f>
        <v/>
      </c>
      <c r="L517" s="31" t="str">
        <f t="shared" si="21"/>
        <v/>
      </c>
      <c r="M517" s="31" t="str">
        <f>IF(OR(J517="",C517&lt;&gt;"League",L517&lt;&gt;"VALID"),"",COUNTIFS($J$6:J517,J517,$G$6:G517,G517,$C$6:C517,"League"))</f>
        <v/>
      </c>
      <c r="N517" s="31" t="str">
        <f t="shared" si="22"/>
        <v/>
      </c>
      <c r="O517" s="37" t="str">
        <f t="shared" si="23"/>
        <v/>
      </c>
    </row>
    <row r="518" spans="1:15" ht="15">
      <c r="A518" s="30">
        <v>108</v>
      </c>
      <c r="B518" s="31" t="s">
        <v>500</v>
      </c>
      <c r="C518" s="31" t="s">
        <v>473</v>
      </c>
      <c r="D518" s="31" t="s">
        <v>490</v>
      </c>
      <c r="E518" s="31" t="s">
        <v>491</v>
      </c>
      <c r="F518" s="31" t="str">
        <f>IF(H518=1,INDEX('Match Results'!$G$6:$G$185,MATCH(A518,'Match Results'!$A$6:$A$185,0)),INDEX('Match Results'!$H$6:$H$185,MATCH(A518,'Match Results'!$A$6:$A$185,0)))</f>
        <v>B2</v>
      </c>
      <c r="G518" s="31" t="str">
        <f>IF(H518=1,INDEX('Match Results'!$H$6:$H$185,MATCH(A518,'Match Results'!$A$6:$A$185,0)),INDEX('Match Results'!$G$6:$G$185,MATCH(A518,'Match Results'!$A$6:$A$185,0)))</f>
        <v>B3</v>
      </c>
      <c r="H518" s="31">
        <v>1</v>
      </c>
      <c r="I518" s="31">
        <v>5</v>
      </c>
      <c r="J518" s="32"/>
      <c r="K518" s="31" t="str">
        <f>IF(J518="","",IFERROR(INDEX('Team Rosters'!$C$6:$C$205,MATCH(J518,'Team Rosters'!$B$6:$B$205,0)),"CODE NOT FOUND"))</f>
        <v/>
      </c>
      <c r="L518" s="31" t="str">
        <f t="shared" ref="L518:L581" si="24">IF(J518="","",IF(AND(K518&lt;&gt;"",K518&lt;&gt;"CODE NOT FOUND",LEFT(J518,2)=F518),"VALID","CHECK ROSTER"))</f>
        <v/>
      </c>
      <c r="M518" s="31" t="str">
        <f>IF(OR(J518="",C518&lt;&gt;"League",L518&lt;&gt;"VALID"),"",COUNTIFS($J$6:J518,J518,$G$6:G518,G518,$C$6:C518,"League"))</f>
        <v/>
      </c>
      <c r="N518" s="31" t="str">
        <f t="shared" ref="N518:N581" si="25">IF(J518="","",IF(L518&lt;&gt;"VALID","CHECK ROSTER",IF(C518&lt;&gt;"League","NOT APPLICABLE",IF(M518&lt;=2,"OK","VIOLATION"))))</f>
        <v/>
      </c>
      <c r="O518" s="37" t="str">
        <f t="shared" ref="O518:O581" si="26">IF(N518="VIOLATION",K518&amp;" has played "&amp;M518&amp;" league matches against "&amp;G518&amp;"; limit is 2.","")</f>
        <v/>
      </c>
    </row>
    <row r="519" spans="1:15" ht="15">
      <c r="A519" s="30">
        <v>108</v>
      </c>
      <c r="B519" s="31" t="s">
        <v>500</v>
      </c>
      <c r="C519" s="31" t="s">
        <v>473</v>
      </c>
      <c r="D519" s="31" t="s">
        <v>490</v>
      </c>
      <c r="E519" s="31" t="s">
        <v>491</v>
      </c>
      <c r="F519" s="31" t="str">
        <f>IF(H519=1,INDEX('Match Results'!$G$6:$G$185,MATCH(A519,'Match Results'!$A$6:$A$185,0)),INDEX('Match Results'!$H$6:$H$185,MATCH(A519,'Match Results'!$A$6:$A$185,0)))</f>
        <v>B2</v>
      </c>
      <c r="G519" s="31" t="str">
        <f>IF(H519=1,INDEX('Match Results'!$H$6:$H$185,MATCH(A519,'Match Results'!$A$6:$A$185,0)),INDEX('Match Results'!$G$6:$G$185,MATCH(A519,'Match Results'!$A$6:$A$185,0)))</f>
        <v>B3</v>
      </c>
      <c r="H519" s="31">
        <v>1</v>
      </c>
      <c r="I519" s="31">
        <v>6</v>
      </c>
      <c r="J519" s="32"/>
      <c r="K519" s="31" t="str">
        <f>IF(J519="","",IFERROR(INDEX('Team Rosters'!$C$6:$C$205,MATCH(J519,'Team Rosters'!$B$6:$B$205,0)),"CODE NOT FOUND"))</f>
        <v/>
      </c>
      <c r="L519" s="31" t="str">
        <f t="shared" si="24"/>
        <v/>
      </c>
      <c r="M519" s="31" t="str">
        <f>IF(OR(J519="",C519&lt;&gt;"League",L519&lt;&gt;"VALID"),"",COUNTIFS($J$6:J519,J519,$G$6:G519,G519,$C$6:C519,"League"))</f>
        <v/>
      </c>
      <c r="N519" s="31" t="str">
        <f t="shared" si="25"/>
        <v/>
      </c>
      <c r="O519" s="37" t="str">
        <f t="shared" si="26"/>
        <v/>
      </c>
    </row>
    <row r="520" spans="1:15" ht="15">
      <c r="A520" s="30">
        <v>108</v>
      </c>
      <c r="B520" s="31" t="s">
        <v>500</v>
      </c>
      <c r="C520" s="31" t="s">
        <v>473</v>
      </c>
      <c r="D520" s="31" t="s">
        <v>490</v>
      </c>
      <c r="E520" s="31" t="s">
        <v>491</v>
      </c>
      <c r="F520" s="31" t="str">
        <f>IF(H520=1,INDEX('Match Results'!$G$6:$G$185,MATCH(A520,'Match Results'!$A$6:$A$185,0)),INDEX('Match Results'!$H$6:$H$185,MATCH(A520,'Match Results'!$A$6:$A$185,0)))</f>
        <v>B2</v>
      </c>
      <c r="G520" s="31" t="str">
        <f>IF(H520=1,INDEX('Match Results'!$H$6:$H$185,MATCH(A520,'Match Results'!$A$6:$A$185,0)),INDEX('Match Results'!$G$6:$G$185,MATCH(A520,'Match Results'!$A$6:$A$185,0)))</f>
        <v>B3</v>
      </c>
      <c r="H520" s="31">
        <v>1</v>
      </c>
      <c r="I520" s="31">
        <v>7</v>
      </c>
      <c r="J520" s="32"/>
      <c r="K520" s="31" t="str">
        <f>IF(J520="","",IFERROR(INDEX('Team Rosters'!$C$6:$C$205,MATCH(J520,'Team Rosters'!$B$6:$B$205,0)),"CODE NOT FOUND"))</f>
        <v/>
      </c>
      <c r="L520" s="31" t="str">
        <f t="shared" si="24"/>
        <v/>
      </c>
      <c r="M520" s="31" t="str">
        <f>IF(OR(J520="",C520&lt;&gt;"League",L520&lt;&gt;"VALID"),"",COUNTIFS($J$6:J520,J520,$G$6:G520,G520,$C$6:C520,"League"))</f>
        <v/>
      </c>
      <c r="N520" s="31" t="str">
        <f t="shared" si="25"/>
        <v/>
      </c>
      <c r="O520" s="37" t="str">
        <f t="shared" si="26"/>
        <v/>
      </c>
    </row>
    <row r="521" spans="1:15" ht="15">
      <c r="A521" s="30">
        <v>108</v>
      </c>
      <c r="B521" s="31" t="s">
        <v>500</v>
      </c>
      <c r="C521" s="31" t="s">
        <v>473</v>
      </c>
      <c r="D521" s="31" t="s">
        <v>490</v>
      </c>
      <c r="E521" s="31" t="s">
        <v>491</v>
      </c>
      <c r="F521" s="31" t="str">
        <f>IF(H521=1,INDEX('Match Results'!$G$6:$G$185,MATCH(A521,'Match Results'!$A$6:$A$185,0)),INDEX('Match Results'!$H$6:$H$185,MATCH(A521,'Match Results'!$A$6:$A$185,0)))</f>
        <v>B3</v>
      </c>
      <c r="G521" s="31" t="str">
        <f>IF(H521=1,INDEX('Match Results'!$H$6:$H$185,MATCH(A521,'Match Results'!$A$6:$A$185,0)),INDEX('Match Results'!$G$6:$G$185,MATCH(A521,'Match Results'!$A$6:$A$185,0)))</f>
        <v>B2</v>
      </c>
      <c r="H521" s="31">
        <v>2</v>
      </c>
      <c r="I521" s="31">
        <v>8</v>
      </c>
      <c r="J521" s="32"/>
      <c r="K521" s="31" t="str">
        <f>IF(J521="","",IFERROR(INDEX('Team Rosters'!$C$6:$C$205,MATCH(J521,'Team Rosters'!$B$6:$B$205,0)),"CODE NOT FOUND"))</f>
        <v/>
      </c>
      <c r="L521" s="31" t="str">
        <f t="shared" si="24"/>
        <v/>
      </c>
      <c r="M521" s="31" t="str">
        <f>IF(OR(J521="",C521&lt;&gt;"League",L521&lt;&gt;"VALID"),"",COUNTIFS($J$6:J521,J521,$G$6:G521,G521,$C$6:C521,"League"))</f>
        <v/>
      </c>
      <c r="N521" s="31" t="str">
        <f t="shared" si="25"/>
        <v/>
      </c>
      <c r="O521" s="37" t="str">
        <f t="shared" si="26"/>
        <v/>
      </c>
    </row>
    <row r="522" spans="1:15" ht="15">
      <c r="A522" s="30">
        <v>108</v>
      </c>
      <c r="B522" s="31" t="s">
        <v>500</v>
      </c>
      <c r="C522" s="31" t="s">
        <v>473</v>
      </c>
      <c r="D522" s="31" t="s">
        <v>490</v>
      </c>
      <c r="E522" s="31" t="s">
        <v>491</v>
      </c>
      <c r="F522" s="31" t="str">
        <f>IF(H522=1,INDEX('Match Results'!$G$6:$G$185,MATCH(A522,'Match Results'!$A$6:$A$185,0)),INDEX('Match Results'!$H$6:$H$185,MATCH(A522,'Match Results'!$A$6:$A$185,0)))</f>
        <v>B3</v>
      </c>
      <c r="G522" s="31" t="str">
        <f>IF(H522=1,INDEX('Match Results'!$H$6:$H$185,MATCH(A522,'Match Results'!$A$6:$A$185,0)),INDEX('Match Results'!$G$6:$G$185,MATCH(A522,'Match Results'!$A$6:$A$185,0)))</f>
        <v>B2</v>
      </c>
      <c r="H522" s="31">
        <v>2</v>
      </c>
      <c r="I522" s="31">
        <v>9</v>
      </c>
      <c r="J522" s="32"/>
      <c r="K522" s="31" t="str">
        <f>IF(J522="","",IFERROR(INDEX('Team Rosters'!$C$6:$C$205,MATCH(J522,'Team Rosters'!$B$6:$B$205,0)),"CODE NOT FOUND"))</f>
        <v/>
      </c>
      <c r="L522" s="31" t="str">
        <f t="shared" si="24"/>
        <v/>
      </c>
      <c r="M522" s="31" t="str">
        <f>IF(OR(J522="",C522&lt;&gt;"League",L522&lt;&gt;"VALID"),"",COUNTIFS($J$6:J522,J522,$G$6:G522,G522,$C$6:C522,"League"))</f>
        <v/>
      </c>
      <c r="N522" s="31" t="str">
        <f t="shared" si="25"/>
        <v/>
      </c>
      <c r="O522" s="37" t="str">
        <f t="shared" si="26"/>
        <v/>
      </c>
    </row>
    <row r="523" spans="1:15" ht="15">
      <c r="A523" s="30">
        <v>108</v>
      </c>
      <c r="B523" s="31" t="s">
        <v>500</v>
      </c>
      <c r="C523" s="31" t="s">
        <v>473</v>
      </c>
      <c r="D523" s="31" t="s">
        <v>490</v>
      </c>
      <c r="E523" s="31" t="s">
        <v>491</v>
      </c>
      <c r="F523" s="31" t="str">
        <f>IF(H523=1,INDEX('Match Results'!$G$6:$G$185,MATCH(A523,'Match Results'!$A$6:$A$185,0)),INDEX('Match Results'!$H$6:$H$185,MATCH(A523,'Match Results'!$A$6:$A$185,0)))</f>
        <v>B3</v>
      </c>
      <c r="G523" s="31" t="str">
        <f>IF(H523=1,INDEX('Match Results'!$H$6:$H$185,MATCH(A523,'Match Results'!$A$6:$A$185,0)),INDEX('Match Results'!$G$6:$G$185,MATCH(A523,'Match Results'!$A$6:$A$185,0)))</f>
        <v>B2</v>
      </c>
      <c r="H523" s="31">
        <v>2</v>
      </c>
      <c r="I523" s="31">
        <v>10</v>
      </c>
      <c r="J523" s="32"/>
      <c r="K523" s="31" t="str">
        <f>IF(J523="","",IFERROR(INDEX('Team Rosters'!$C$6:$C$205,MATCH(J523,'Team Rosters'!$B$6:$B$205,0)),"CODE NOT FOUND"))</f>
        <v/>
      </c>
      <c r="L523" s="31" t="str">
        <f t="shared" si="24"/>
        <v/>
      </c>
      <c r="M523" s="31" t="str">
        <f>IF(OR(J523="",C523&lt;&gt;"League",L523&lt;&gt;"VALID"),"",COUNTIFS($J$6:J523,J523,$G$6:G523,G523,$C$6:C523,"League"))</f>
        <v/>
      </c>
      <c r="N523" s="31" t="str">
        <f t="shared" si="25"/>
        <v/>
      </c>
      <c r="O523" s="37" t="str">
        <f t="shared" si="26"/>
        <v/>
      </c>
    </row>
    <row r="524" spans="1:15" ht="15">
      <c r="A524" s="30">
        <v>108</v>
      </c>
      <c r="B524" s="31" t="s">
        <v>500</v>
      </c>
      <c r="C524" s="31" t="s">
        <v>473</v>
      </c>
      <c r="D524" s="31" t="s">
        <v>490</v>
      </c>
      <c r="E524" s="31" t="s">
        <v>491</v>
      </c>
      <c r="F524" s="31" t="str">
        <f>IF(H524=1,INDEX('Match Results'!$G$6:$G$185,MATCH(A524,'Match Results'!$A$6:$A$185,0)),INDEX('Match Results'!$H$6:$H$185,MATCH(A524,'Match Results'!$A$6:$A$185,0)))</f>
        <v>B3</v>
      </c>
      <c r="G524" s="31" t="str">
        <f>IF(H524=1,INDEX('Match Results'!$H$6:$H$185,MATCH(A524,'Match Results'!$A$6:$A$185,0)),INDEX('Match Results'!$G$6:$G$185,MATCH(A524,'Match Results'!$A$6:$A$185,0)))</f>
        <v>B2</v>
      </c>
      <c r="H524" s="31">
        <v>2</v>
      </c>
      <c r="I524" s="31">
        <v>11</v>
      </c>
      <c r="J524" s="32"/>
      <c r="K524" s="31" t="str">
        <f>IF(J524="","",IFERROR(INDEX('Team Rosters'!$C$6:$C$205,MATCH(J524,'Team Rosters'!$B$6:$B$205,0)),"CODE NOT FOUND"))</f>
        <v/>
      </c>
      <c r="L524" s="31" t="str">
        <f t="shared" si="24"/>
        <v/>
      </c>
      <c r="M524" s="31" t="str">
        <f>IF(OR(J524="",C524&lt;&gt;"League",L524&lt;&gt;"VALID"),"",COUNTIFS($J$6:J524,J524,$G$6:G524,G524,$C$6:C524,"League"))</f>
        <v/>
      </c>
      <c r="N524" s="31" t="str">
        <f t="shared" si="25"/>
        <v/>
      </c>
      <c r="O524" s="37" t="str">
        <f t="shared" si="26"/>
        <v/>
      </c>
    </row>
    <row r="525" spans="1:15" ht="15">
      <c r="A525" s="30">
        <v>108</v>
      </c>
      <c r="B525" s="31" t="s">
        <v>500</v>
      </c>
      <c r="C525" s="31" t="s">
        <v>473</v>
      </c>
      <c r="D525" s="31" t="s">
        <v>490</v>
      </c>
      <c r="E525" s="31" t="s">
        <v>491</v>
      </c>
      <c r="F525" s="31" t="str">
        <f>IF(H525=1,INDEX('Match Results'!$G$6:$G$185,MATCH(A525,'Match Results'!$A$6:$A$185,0)),INDEX('Match Results'!$H$6:$H$185,MATCH(A525,'Match Results'!$A$6:$A$185,0)))</f>
        <v>B3</v>
      </c>
      <c r="G525" s="31" t="str">
        <f>IF(H525=1,INDEX('Match Results'!$H$6:$H$185,MATCH(A525,'Match Results'!$A$6:$A$185,0)),INDEX('Match Results'!$G$6:$G$185,MATCH(A525,'Match Results'!$A$6:$A$185,0)))</f>
        <v>B2</v>
      </c>
      <c r="H525" s="31">
        <v>2</v>
      </c>
      <c r="I525" s="31">
        <v>12</v>
      </c>
      <c r="J525" s="32"/>
      <c r="K525" s="31" t="str">
        <f>IF(J525="","",IFERROR(INDEX('Team Rosters'!$C$6:$C$205,MATCH(J525,'Team Rosters'!$B$6:$B$205,0)),"CODE NOT FOUND"))</f>
        <v/>
      </c>
      <c r="L525" s="31" t="str">
        <f t="shared" si="24"/>
        <v/>
      </c>
      <c r="M525" s="31" t="str">
        <f>IF(OR(J525="",C525&lt;&gt;"League",L525&lt;&gt;"VALID"),"",COUNTIFS($J$6:J525,J525,$G$6:G525,G525,$C$6:C525,"League"))</f>
        <v/>
      </c>
      <c r="N525" s="31" t="str">
        <f t="shared" si="25"/>
        <v/>
      </c>
      <c r="O525" s="37" t="str">
        <f t="shared" si="26"/>
        <v/>
      </c>
    </row>
    <row r="526" spans="1:15" ht="15">
      <c r="A526" s="30">
        <v>108</v>
      </c>
      <c r="B526" s="31" t="s">
        <v>500</v>
      </c>
      <c r="C526" s="31" t="s">
        <v>473</v>
      </c>
      <c r="D526" s="31" t="s">
        <v>490</v>
      </c>
      <c r="E526" s="31" t="s">
        <v>491</v>
      </c>
      <c r="F526" s="31" t="str">
        <f>IF(H526=1,INDEX('Match Results'!$G$6:$G$185,MATCH(A526,'Match Results'!$A$6:$A$185,0)),INDEX('Match Results'!$H$6:$H$185,MATCH(A526,'Match Results'!$A$6:$A$185,0)))</f>
        <v>B3</v>
      </c>
      <c r="G526" s="31" t="str">
        <f>IF(H526=1,INDEX('Match Results'!$H$6:$H$185,MATCH(A526,'Match Results'!$A$6:$A$185,0)),INDEX('Match Results'!$G$6:$G$185,MATCH(A526,'Match Results'!$A$6:$A$185,0)))</f>
        <v>B2</v>
      </c>
      <c r="H526" s="31">
        <v>2</v>
      </c>
      <c r="I526" s="31">
        <v>13</v>
      </c>
      <c r="J526" s="32"/>
      <c r="K526" s="31" t="str">
        <f>IF(J526="","",IFERROR(INDEX('Team Rosters'!$C$6:$C$205,MATCH(J526,'Team Rosters'!$B$6:$B$205,0)),"CODE NOT FOUND"))</f>
        <v/>
      </c>
      <c r="L526" s="31" t="str">
        <f t="shared" si="24"/>
        <v/>
      </c>
      <c r="M526" s="31" t="str">
        <f>IF(OR(J526="",C526&lt;&gt;"League",L526&lt;&gt;"VALID"),"",COUNTIFS($J$6:J526,J526,$G$6:G526,G526,$C$6:C526,"League"))</f>
        <v/>
      </c>
      <c r="N526" s="31" t="str">
        <f t="shared" si="25"/>
        <v/>
      </c>
      <c r="O526" s="37" t="str">
        <f t="shared" si="26"/>
        <v/>
      </c>
    </row>
    <row r="527" spans="1:15" ht="15">
      <c r="A527" s="30">
        <v>108</v>
      </c>
      <c r="B527" s="31" t="s">
        <v>500</v>
      </c>
      <c r="C527" s="31" t="s">
        <v>473</v>
      </c>
      <c r="D527" s="31" t="s">
        <v>490</v>
      </c>
      <c r="E527" s="31" t="s">
        <v>491</v>
      </c>
      <c r="F527" s="31" t="str">
        <f>IF(H527=1,INDEX('Match Results'!$G$6:$G$185,MATCH(A527,'Match Results'!$A$6:$A$185,0)),INDEX('Match Results'!$H$6:$H$185,MATCH(A527,'Match Results'!$A$6:$A$185,0)))</f>
        <v>B3</v>
      </c>
      <c r="G527" s="31" t="str">
        <f>IF(H527=1,INDEX('Match Results'!$H$6:$H$185,MATCH(A527,'Match Results'!$A$6:$A$185,0)),INDEX('Match Results'!$G$6:$G$185,MATCH(A527,'Match Results'!$A$6:$A$185,0)))</f>
        <v>B2</v>
      </c>
      <c r="H527" s="31">
        <v>2</v>
      </c>
      <c r="I527" s="31">
        <v>14</v>
      </c>
      <c r="J527" s="32"/>
      <c r="K527" s="31" t="str">
        <f>IF(J527="","",IFERROR(INDEX('Team Rosters'!$C$6:$C$205,MATCH(J527,'Team Rosters'!$B$6:$B$205,0)),"CODE NOT FOUND"))</f>
        <v/>
      </c>
      <c r="L527" s="31" t="str">
        <f t="shared" si="24"/>
        <v/>
      </c>
      <c r="M527" s="31" t="str">
        <f>IF(OR(J527="",C527&lt;&gt;"League",L527&lt;&gt;"VALID"),"",COUNTIFS($J$6:J527,J527,$G$6:G527,G527,$C$6:C527,"League"))</f>
        <v/>
      </c>
      <c r="N527" s="31" t="str">
        <f t="shared" si="25"/>
        <v/>
      </c>
      <c r="O527" s="37" t="str">
        <f t="shared" si="26"/>
        <v/>
      </c>
    </row>
    <row r="528" spans="1:15" ht="15">
      <c r="A528" s="30">
        <v>109</v>
      </c>
      <c r="B528" s="31" t="s">
        <v>501</v>
      </c>
      <c r="C528" s="31" t="s">
        <v>473</v>
      </c>
      <c r="D528" s="31" t="s">
        <v>471</v>
      </c>
      <c r="E528" s="31" t="s">
        <v>475</v>
      </c>
      <c r="F528" s="31" t="str">
        <f>IF(H528=1,INDEX('Match Results'!$G$6:$G$185,MATCH(A528,'Match Results'!$A$6:$A$185,0)),INDEX('Match Results'!$H$6:$H$185,MATCH(A528,'Match Results'!$A$6:$A$185,0)))</f>
        <v>A1</v>
      </c>
      <c r="G528" s="31" t="str">
        <f>IF(H528=1,INDEX('Match Results'!$H$6:$H$185,MATCH(A528,'Match Results'!$A$6:$A$185,0)),INDEX('Match Results'!$G$6:$G$185,MATCH(A528,'Match Results'!$A$6:$A$185,0)))</f>
        <v>A4</v>
      </c>
      <c r="H528" s="31">
        <v>1</v>
      </c>
      <c r="I528" s="31">
        <v>1</v>
      </c>
      <c r="J528" s="32"/>
      <c r="K528" s="31" t="str">
        <f>IF(J528="","",IFERROR(INDEX('Team Rosters'!$C$6:$C$205,MATCH(J528,'Team Rosters'!$B$6:$B$205,0)),"CODE NOT FOUND"))</f>
        <v/>
      </c>
      <c r="L528" s="31" t="str">
        <f t="shared" si="24"/>
        <v/>
      </c>
      <c r="M528" s="31" t="str">
        <f>IF(OR(J528="",C528&lt;&gt;"League",L528&lt;&gt;"VALID"),"",COUNTIFS($J$6:J528,J528,$G$6:G528,G528,$C$6:C528,"League"))</f>
        <v/>
      </c>
      <c r="N528" s="31" t="str">
        <f t="shared" si="25"/>
        <v/>
      </c>
      <c r="O528" s="37" t="str">
        <f t="shared" si="26"/>
        <v/>
      </c>
    </row>
    <row r="529" spans="1:15" ht="15">
      <c r="A529" s="30">
        <v>109</v>
      </c>
      <c r="B529" s="31" t="s">
        <v>501</v>
      </c>
      <c r="C529" s="31" t="s">
        <v>473</v>
      </c>
      <c r="D529" s="31" t="s">
        <v>471</v>
      </c>
      <c r="E529" s="31" t="s">
        <v>475</v>
      </c>
      <c r="F529" s="31" t="str">
        <f>IF(H529=1,INDEX('Match Results'!$G$6:$G$185,MATCH(A529,'Match Results'!$A$6:$A$185,0)),INDEX('Match Results'!$H$6:$H$185,MATCH(A529,'Match Results'!$A$6:$A$185,0)))</f>
        <v>A1</v>
      </c>
      <c r="G529" s="31" t="str">
        <f>IF(H529=1,INDEX('Match Results'!$H$6:$H$185,MATCH(A529,'Match Results'!$A$6:$A$185,0)),INDEX('Match Results'!$G$6:$G$185,MATCH(A529,'Match Results'!$A$6:$A$185,0)))</f>
        <v>A4</v>
      </c>
      <c r="H529" s="31">
        <v>1</v>
      </c>
      <c r="I529" s="31">
        <v>2</v>
      </c>
      <c r="J529" s="32"/>
      <c r="K529" s="31" t="str">
        <f>IF(J529="","",IFERROR(INDEX('Team Rosters'!$C$6:$C$205,MATCH(J529,'Team Rosters'!$B$6:$B$205,0)),"CODE NOT FOUND"))</f>
        <v/>
      </c>
      <c r="L529" s="31" t="str">
        <f t="shared" si="24"/>
        <v/>
      </c>
      <c r="M529" s="31" t="str">
        <f>IF(OR(J529="",C529&lt;&gt;"League",L529&lt;&gt;"VALID"),"",COUNTIFS($J$6:J529,J529,$G$6:G529,G529,$C$6:C529,"League"))</f>
        <v/>
      </c>
      <c r="N529" s="31" t="str">
        <f t="shared" si="25"/>
        <v/>
      </c>
      <c r="O529" s="37" t="str">
        <f t="shared" si="26"/>
        <v/>
      </c>
    </row>
    <row r="530" spans="1:15" ht="15">
      <c r="A530" s="30">
        <v>109</v>
      </c>
      <c r="B530" s="31" t="s">
        <v>501</v>
      </c>
      <c r="C530" s="31" t="s">
        <v>473</v>
      </c>
      <c r="D530" s="31" t="s">
        <v>471</v>
      </c>
      <c r="E530" s="31" t="s">
        <v>475</v>
      </c>
      <c r="F530" s="31" t="str">
        <f>IF(H530=1,INDEX('Match Results'!$G$6:$G$185,MATCH(A530,'Match Results'!$A$6:$A$185,0)),INDEX('Match Results'!$H$6:$H$185,MATCH(A530,'Match Results'!$A$6:$A$185,0)))</f>
        <v>A4</v>
      </c>
      <c r="G530" s="31" t="str">
        <f>IF(H530=1,INDEX('Match Results'!$H$6:$H$185,MATCH(A530,'Match Results'!$A$6:$A$185,0)),INDEX('Match Results'!$G$6:$G$185,MATCH(A530,'Match Results'!$A$6:$A$185,0)))</f>
        <v>A1</v>
      </c>
      <c r="H530" s="31">
        <v>2</v>
      </c>
      <c r="I530" s="31">
        <v>3</v>
      </c>
      <c r="J530" s="48"/>
      <c r="K530" s="31" t="str">
        <f>IF(J530="","",IFERROR(INDEX('Team Rosters'!$C$6:$C$205,MATCH(J530,'Team Rosters'!$B$6:$B$205,0)),"CODE NOT FOUND"))</f>
        <v/>
      </c>
      <c r="L530" s="31" t="str">
        <f t="shared" si="24"/>
        <v/>
      </c>
      <c r="M530" s="31" t="str">
        <f>IF(OR(J530="",C530&lt;&gt;"League",L530&lt;&gt;"VALID"),"",COUNTIFS($J$6:J530,J530,$G$6:G530,G530,$C$6:C530,"League"))</f>
        <v/>
      </c>
      <c r="N530" s="31" t="str">
        <f t="shared" si="25"/>
        <v/>
      </c>
      <c r="O530" s="37" t="str">
        <f t="shared" si="26"/>
        <v/>
      </c>
    </row>
    <row r="531" spans="1:15" ht="15">
      <c r="A531" s="30">
        <v>109</v>
      </c>
      <c r="B531" s="31" t="s">
        <v>501</v>
      </c>
      <c r="C531" s="31" t="s">
        <v>473</v>
      </c>
      <c r="D531" s="31" t="s">
        <v>471</v>
      </c>
      <c r="E531" s="31" t="s">
        <v>475</v>
      </c>
      <c r="F531" s="31" t="str">
        <f>IF(H531=1,INDEX('Match Results'!$G$6:$G$185,MATCH(A531,'Match Results'!$A$6:$A$185,0)),INDEX('Match Results'!$H$6:$H$185,MATCH(A531,'Match Results'!$A$6:$A$185,0)))</f>
        <v>A4</v>
      </c>
      <c r="G531" s="31" t="str">
        <f>IF(H531=1,INDEX('Match Results'!$H$6:$H$185,MATCH(A531,'Match Results'!$A$6:$A$185,0)),INDEX('Match Results'!$G$6:$G$185,MATCH(A531,'Match Results'!$A$6:$A$185,0)))</f>
        <v>A1</v>
      </c>
      <c r="H531" s="31">
        <v>2</v>
      </c>
      <c r="I531" s="31">
        <v>4</v>
      </c>
      <c r="J531" s="48"/>
      <c r="K531" s="31" t="str">
        <f>IF(J531="","",IFERROR(INDEX('Team Rosters'!$C$6:$C$205,MATCH(J531,'Team Rosters'!$B$6:$B$205,0)),"CODE NOT FOUND"))</f>
        <v/>
      </c>
      <c r="L531" s="31" t="str">
        <f t="shared" si="24"/>
        <v/>
      </c>
      <c r="M531" s="31" t="str">
        <f>IF(OR(J531="",C531&lt;&gt;"League",L531&lt;&gt;"VALID"),"",COUNTIFS($J$6:J531,J531,$G$6:G531,G531,$C$6:C531,"League"))</f>
        <v/>
      </c>
      <c r="N531" s="31" t="str">
        <f t="shared" si="25"/>
        <v/>
      </c>
      <c r="O531" s="37" t="str">
        <f t="shared" si="26"/>
        <v/>
      </c>
    </row>
    <row r="532" spans="1:15" ht="15">
      <c r="A532" s="30">
        <v>110</v>
      </c>
      <c r="B532" s="31" t="s">
        <v>501</v>
      </c>
      <c r="C532" s="31" t="s">
        <v>473</v>
      </c>
      <c r="D532" s="31" t="s">
        <v>471</v>
      </c>
      <c r="E532" s="31" t="s">
        <v>477</v>
      </c>
      <c r="F532" s="31" t="str">
        <f>IF(H532=1,INDEX('Match Results'!$G$6:$G$185,MATCH(A532,'Match Results'!$A$6:$A$185,0)),INDEX('Match Results'!$H$6:$H$185,MATCH(A532,'Match Results'!$A$6:$A$185,0)))</f>
        <v>A2</v>
      </c>
      <c r="G532" s="31" t="str">
        <f>IF(H532=1,INDEX('Match Results'!$H$6:$H$185,MATCH(A532,'Match Results'!$A$6:$A$185,0)),INDEX('Match Results'!$G$6:$G$185,MATCH(A532,'Match Results'!$A$6:$A$185,0)))</f>
        <v>A3</v>
      </c>
      <c r="H532" s="31">
        <v>1</v>
      </c>
      <c r="I532" s="31">
        <v>1</v>
      </c>
      <c r="J532" s="32"/>
      <c r="K532" s="31" t="str">
        <f>IF(J532="","",IFERROR(INDEX('Team Rosters'!$C$6:$C$205,MATCH(J532,'Team Rosters'!$B$6:$B$205,0)),"CODE NOT FOUND"))</f>
        <v/>
      </c>
      <c r="L532" s="31" t="str">
        <f t="shared" si="24"/>
        <v/>
      </c>
      <c r="M532" s="31" t="str">
        <f>IF(OR(J532="",C532&lt;&gt;"League",L532&lt;&gt;"VALID"),"",COUNTIFS($J$6:J532,J532,$G$6:G532,G532,$C$6:C532,"League"))</f>
        <v/>
      </c>
      <c r="N532" s="31" t="str">
        <f t="shared" si="25"/>
        <v/>
      </c>
      <c r="O532" s="37" t="str">
        <f t="shared" si="26"/>
        <v/>
      </c>
    </row>
    <row r="533" spans="1:15" ht="15">
      <c r="A533" s="30">
        <v>110</v>
      </c>
      <c r="B533" s="31" t="s">
        <v>501</v>
      </c>
      <c r="C533" s="31" t="s">
        <v>473</v>
      </c>
      <c r="D533" s="31" t="s">
        <v>471</v>
      </c>
      <c r="E533" s="31" t="s">
        <v>477</v>
      </c>
      <c r="F533" s="31" t="str">
        <f>IF(H533=1,INDEX('Match Results'!$G$6:$G$185,MATCH(A533,'Match Results'!$A$6:$A$185,0)),INDEX('Match Results'!$H$6:$H$185,MATCH(A533,'Match Results'!$A$6:$A$185,0)))</f>
        <v>A2</v>
      </c>
      <c r="G533" s="31" t="str">
        <f>IF(H533=1,INDEX('Match Results'!$H$6:$H$185,MATCH(A533,'Match Results'!$A$6:$A$185,0)),INDEX('Match Results'!$G$6:$G$185,MATCH(A533,'Match Results'!$A$6:$A$185,0)))</f>
        <v>A3</v>
      </c>
      <c r="H533" s="31">
        <v>1</v>
      </c>
      <c r="I533" s="31">
        <v>2</v>
      </c>
      <c r="J533" s="32"/>
      <c r="K533" s="31" t="str">
        <f>IF(J533="","",IFERROR(INDEX('Team Rosters'!$C$6:$C$205,MATCH(J533,'Team Rosters'!$B$6:$B$205,0)),"CODE NOT FOUND"))</f>
        <v/>
      </c>
      <c r="L533" s="31" t="str">
        <f t="shared" si="24"/>
        <v/>
      </c>
      <c r="M533" s="31" t="str">
        <f>IF(OR(J533="",C533&lt;&gt;"League",L533&lt;&gt;"VALID"),"",COUNTIFS($J$6:J533,J533,$G$6:G533,G533,$C$6:C533,"League"))</f>
        <v/>
      </c>
      <c r="N533" s="31" t="str">
        <f t="shared" si="25"/>
        <v/>
      </c>
      <c r="O533" s="37" t="str">
        <f t="shared" si="26"/>
        <v/>
      </c>
    </row>
    <row r="534" spans="1:15" ht="15">
      <c r="A534" s="30">
        <v>110</v>
      </c>
      <c r="B534" s="31" t="s">
        <v>501</v>
      </c>
      <c r="C534" s="31" t="s">
        <v>473</v>
      </c>
      <c r="D534" s="31" t="s">
        <v>471</v>
      </c>
      <c r="E534" s="31" t="s">
        <v>477</v>
      </c>
      <c r="F534" s="31" t="str">
        <f>IF(H534=1,INDEX('Match Results'!$G$6:$G$185,MATCH(A534,'Match Results'!$A$6:$A$185,0)),INDEX('Match Results'!$H$6:$H$185,MATCH(A534,'Match Results'!$A$6:$A$185,0)))</f>
        <v>A3</v>
      </c>
      <c r="G534" s="31" t="str">
        <f>IF(H534=1,INDEX('Match Results'!$H$6:$H$185,MATCH(A534,'Match Results'!$A$6:$A$185,0)),INDEX('Match Results'!$G$6:$G$185,MATCH(A534,'Match Results'!$A$6:$A$185,0)))</f>
        <v>A2</v>
      </c>
      <c r="H534" s="31">
        <v>2</v>
      </c>
      <c r="I534" s="31">
        <v>3</v>
      </c>
      <c r="J534" s="32"/>
      <c r="K534" s="31" t="str">
        <f>IF(J534="","",IFERROR(INDEX('Team Rosters'!$C$6:$C$205,MATCH(J534,'Team Rosters'!$B$6:$B$205,0)),"CODE NOT FOUND"))</f>
        <v/>
      </c>
      <c r="L534" s="31" t="str">
        <f t="shared" si="24"/>
        <v/>
      </c>
      <c r="M534" s="31" t="str">
        <f>IF(OR(J534="",C534&lt;&gt;"League",L534&lt;&gt;"VALID"),"",COUNTIFS($J$6:J534,J534,$G$6:G534,G534,$C$6:C534,"League"))</f>
        <v/>
      </c>
      <c r="N534" s="31" t="str">
        <f t="shared" si="25"/>
        <v/>
      </c>
      <c r="O534" s="37" t="str">
        <f t="shared" si="26"/>
        <v/>
      </c>
    </row>
    <row r="535" spans="1:15" ht="15">
      <c r="A535" s="30">
        <v>110</v>
      </c>
      <c r="B535" s="31" t="s">
        <v>501</v>
      </c>
      <c r="C535" s="31" t="s">
        <v>473</v>
      </c>
      <c r="D535" s="31" t="s">
        <v>471</v>
      </c>
      <c r="E535" s="31" t="s">
        <v>477</v>
      </c>
      <c r="F535" s="31" t="str">
        <f>IF(H535=1,INDEX('Match Results'!$G$6:$G$185,MATCH(A535,'Match Results'!$A$6:$A$185,0)),INDEX('Match Results'!$H$6:$H$185,MATCH(A535,'Match Results'!$A$6:$A$185,0)))</f>
        <v>A3</v>
      </c>
      <c r="G535" s="31" t="str">
        <f>IF(H535=1,INDEX('Match Results'!$H$6:$H$185,MATCH(A535,'Match Results'!$A$6:$A$185,0)),INDEX('Match Results'!$G$6:$G$185,MATCH(A535,'Match Results'!$A$6:$A$185,0)))</f>
        <v>A2</v>
      </c>
      <c r="H535" s="31">
        <v>2</v>
      </c>
      <c r="I535" s="31">
        <v>4</v>
      </c>
      <c r="J535" s="32"/>
      <c r="K535" s="31" t="str">
        <f>IF(J535="","",IFERROR(INDEX('Team Rosters'!$C$6:$C$205,MATCH(J535,'Team Rosters'!$B$6:$B$205,0)),"CODE NOT FOUND"))</f>
        <v/>
      </c>
      <c r="L535" s="31" t="str">
        <f t="shared" si="24"/>
        <v/>
      </c>
      <c r="M535" s="31" t="str">
        <f>IF(OR(J535="",C535&lt;&gt;"League",L535&lt;&gt;"VALID"),"",COUNTIFS($J$6:J535,J535,$G$6:G535,G535,$C$6:C535,"League"))</f>
        <v/>
      </c>
      <c r="N535" s="31" t="str">
        <f t="shared" si="25"/>
        <v/>
      </c>
      <c r="O535" s="37" t="str">
        <f t="shared" si="26"/>
        <v/>
      </c>
    </row>
    <row r="536" spans="1:15" ht="15">
      <c r="A536" s="30">
        <v>111</v>
      </c>
      <c r="B536" s="31" t="s">
        <v>501</v>
      </c>
      <c r="C536" s="31" t="s">
        <v>473</v>
      </c>
      <c r="D536" s="31" t="s">
        <v>471</v>
      </c>
      <c r="E536" s="31" t="s">
        <v>472</v>
      </c>
      <c r="F536" s="31" t="str">
        <f>IF(H536=1,INDEX('Match Results'!$G$6:$G$185,MATCH(A536,'Match Results'!$A$6:$A$185,0)),INDEX('Match Results'!$H$6:$H$185,MATCH(A536,'Match Results'!$A$6:$A$185,0)))</f>
        <v>B2</v>
      </c>
      <c r="G536" s="31" t="str">
        <f>IF(H536=1,INDEX('Match Results'!$H$6:$H$185,MATCH(A536,'Match Results'!$A$6:$A$185,0)),INDEX('Match Results'!$G$6:$G$185,MATCH(A536,'Match Results'!$A$6:$A$185,0)))</f>
        <v>B3</v>
      </c>
      <c r="H536" s="31">
        <v>1</v>
      </c>
      <c r="I536" s="31">
        <v>1</v>
      </c>
      <c r="J536" s="32"/>
      <c r="K536" s="31" t="str">
        <f>IF(J536="","",IFERROR(INDEX('Team Rosters'!$C$6:$C$205,MATCH(J536,'Team Rosters'!$B$6:$B$205,0)),"CODE NOT FOUND"))</f>
        <v/>
      </c>
      <c r="L536" s="31" t="str">
        <f t="shared" si="24"/>
        <v/>
      </c>
      <c r="M536" s="31" t="str">
        <f>IF(OR(J536="",C536&lt;&gt;"League",L536&lt;&gt;"VALID"),"",COUNTIFS($J$6:J536,J536,$G$6:G536,G536,$C$6:C536,"League"))</f>
        <v/>
      </c>
      <c r="N536" s="31" t="str">
        <f t="shared" si="25"/>
        <v/>
      </c>
      <c r="O536" s="37" t="str">
        <f t="shared" si="26"/>
        <v/>
      </c>
    </row>
    <row r="537" spans="1:15" ht="15">
      <c r="A537" s="30">
        <v>111</v>
      </c>
      <c r="B537" s="31" t="s">
        <v>501</v>
      </c>
      <c r="C537" s="31" t="s">
        <v>473</v>
      </c>
      <c r="D537" s="31" t="s">
        <v>471</v>
      </c>
      <c r="E537" s="31" t="s">
        <v>472</v>
      </c>
      <c r="F537" s="31" t="str">
        <f>IF(H537=1,INDEX('Match Results'!$G$6:$G$185,MATCH(A537,'Match Results'!$A$6:$A$185,0)),INDEX('Match Results'!$H$6:$H$185,MATCH(A537,'Match Results'!$A$6:$A$185,0)))</f>
        <v>B2</v>
      </c>
      <c r="G537" s="31" t="str">
        <f>IF(H537=1,INDEX('Match Results'!$H$6:$H$185,MATCH(A537,'Match Results'!$A$6:$A$185,0)),INDEX('Match Results'!$G$6:$G$185,MATCH(A537,'Match Results'!$A$6:$A$185,0)))</f>
        <v>B3</v>
      </c>
      <c r="H537" s="31">
        <v>1</v>
      </c>
      <c r="I537" s="31">
        <v>2</v>
      </c>
      <c r="J537" s="32"/>
      <c r="K537" s="31" t="str">
        <f>IF(J537="","",IFERROR(INDEX('Team Rosters'!$C$6:$C$205,MATCH(J537,'Team Rosters'!$B$6:$B$205,0)),"CODE NOT FOUND"))</f>
        <v/>
      </c>
      <c r="L537" s="31" t="str">
        <f t="shared" si="24"/>
        <v/>
      </c>
      <c r="M537" s="31" t="str">
        <f>IF(OR(J537="",C537&lt;&gt;"League",L537&lt;&gt;"VALID"),"",COUNTIFS($J$6:J537,J537,$G$6:G537,G537,$C$6:C537,"League"))</f>
        <v/>
      </c>
      <c r="N537" s="31" t="str">
        <f t="shared" si="25"/>
        <v/>
      </c>
      <c r="O537" s="37" t="str">
        <f t="shared" si="26"/>
        <v/>
      </c>
    </row>
    <row r="538" spans="1:15" ht="15">
      <c r="A538" s="30">
        <v>111</v>
      </c>
      <c r="B538" s="31" t="s">
        <v>501</v>
      </c>
      <c r="C538" s="31" t="s">
        <v>473</v>
      </c>
      <c r="D538" s="31" t="s">
        <v>471</v>
      </c>
      <c r="E538" s="31" t="s">
        <v>472</v>
      </c>
      <c r="F538" s="31" t="str">
        <f>IF(H538=1,INDEX('Match Results'!$G$6:$G$185,MATCH(A538,'Match Results'!$A$6:$A$185,0)),INDEX('Match Results'!$H$6:$H$185,MATCH(A538,'Match Results'!$A$6:$A$185,0)))</f>
        <v>B3</v>
      </c>
      <c r="G538" s="31" t="str">
        <f>IF(H538=1,INDEX('Match Results'!$H$6:$H$185,MATCH(A538,'Match Results'!$A$6:$A$185,0)),INDEX('Match Results'!$G$6:$G$185,MATCH(A538,'Match Results'!$A$6:$A$185,0)))</f>
        <v>B2</v>
      </c>
      <c r="H538" s="31">
        <v>2</v>
      </c>
      <c r="I538" s="31">
        <v>3</v>
      </c>
      <c r="J538" s="32"/>
      <c r="K538" s="31" t="str">
        <f>IF(J538="","",IFERROR(INDEX('Team Rosters'!$C$6:$C$205,MATCH(J538,'Team Rosters'!$B$6:$B$205,0)),"CODE NOT FOUND"))</f>
        <v/>
      </c>
      <c r="L538" s="31" t="str">
        <f t="shared" si="24"/>
        <v/>
      </c>
      <c r="M538" s="31" t="str">
        <f>IF(OR(J538="",C538&lt;&gt;"League",L538&lt;&gt;"VALID"),"",COUNTIFS($J$6:J538,J538,$G$6:G538,G538,$C$6:C538,"League"))</f>
        <v/>
      </c>
      <c r="N538" s="31" t="str">
        <f t="shared" si="25"/>
        <v/>
      </c>
      <c r="O538" s="37" t="str">
        <f t="shared" si="26"/>
        <v/>
      </c>
    </row>
    <row r="539" spans="1:15" ht="15">
      <c r="A539" s="30">
        <v>111</v>
      </c>
      <c r="B539" s="31" t="s">
        <v>501</v>
      </c>
      <c r="C539" s="31" t="s">
        <v>473</v>
      </c>
      <c r="D539" s="31" t="s">
        <v>471</v>
      </c>
      <c r="E539" s="31" t="s">
        <v>472</v>
      </c>
      <c r="F539" s="31" t="str">
        <f>IF(H539=1,INDEX('Match Results'!$G$6:$G$185,MATCH(A539,'Match Results'!$A$6:$A$185,0)),INDEX('Match Results'!$H$6:$H$185,MATCH(A539,'Match Results'!$A$6:$A$185,0)))</f>
        <v>B3</v>
      </c>
      <c r="G539" s="31" t="str">
        <f>IF(H539=1,INDEX('Match Results'!$H$6:$H$185,MATCH(A539,'Match Results'!$A$6:$A$185,0)),INDEX('Match Results'!$G$6:$G$185,MATCH(A539,'Match Results'!$A$6:$A$185,0)))</f>
        <v>B2</v>
      </c>
      <c r="H539" s="31">
        <v>2</v>
      </c>
      <c r="I539" s="31">
        <v>4</v>
      </c>
      <c r="J539" s="32"/>
      <c r="K539" s="31" t="str">
        <f>IF(J539="","",IFERROR(INDEX('Team Rosters'!$C$6:$C$205,MATCH(J539,'Team Rosters'!$B$6:$B$205,0)),"CODE NOT FOUND"))</f>
        <v/>
      </c>
      <c r="L539" s="31" t="str">
        <f t="shared" si="24"/>
        <v/>
      </c>
      <c r="M539" s="31" t="str">
        <f>IF(OR(J539="",C539&lt;&gt;"League",L539&lt;&gt;"VALID"),"",COUNTIFS($J$6:J539,J539,$G$6:G539,G539,$C$6:C539,"League"))</f>
        <v/>
      </c>
      <c r="N539" s="31" t="str">
        <f t="shared" si="25"/>
        <v/>
      </c>
      <c r="O539" s="37" t="str">
        <f t="shared" si="26"/>
        <v/>
      </c>
    </row>
    <row r="540" spans="1:15" ht="15">
      <c r="A540" s="30">
        <v>112</v>
      </c>
      <c r="B540" s="31" t="s">
        <v>501</v>
      </c>
      <c r="C540" s="31" t="s">
        <v>473</v>
      </c>
      <c r="D540" s="31" t="s">
        <v>479</v>
      </c>
      <c r="E540" s="31" t="s">
        <v>477</v>
      </c>
      <c r="F540" s="31" t="str">
        <f>IF(H540=1,INDEX('Match Results'!$G$6:$G$185,MATCH(A540,'Match Results'!$A$6:$A$185,0)),INDEX('Match Results'!$H$6:$H$185,MATCH(A540,'Match Results'!$A$6:$A$185,0)))</f>
        <v>A2</v>
      </c>
      <c r="G540" s="31" t="str">
        <f>IF(H540=1,INDEX('Match Results'!$H$6:$H$185,MATCH(A540,'Match Results'!$A$6:$A$185,0)),INDEX('Match Results'!$G$6:$G$185,MATCH(A540,'Match Results'!$A$6:$A$185,0)))</f>
        <v>A4</v>
      </c>
      <c r="H540" s="31">
        <v>1</v>
      </c>
      <c r="I540" s="31">
        <v>1</v>
      </c>
      <c r="J540" s="32"/>
      <c r="K540" s="31" t="str">
        <f>IF(J540="","",IFERROR(INDEX('Team Rosters'!$C$6:$C$205,MATCH(J540,'Team Rosters'!$B$6:$B$205,0)),"CODE NOT FOUND"))</f>
        <v/>
      </c>
      <c r="L540" s="31" t="str">
        <f t="shared" si="24"/>
        <v/>
      </c>
      <c r="M540" s="31" t="str">
        <f>IF(OR(J540="",C540&lt;&gt;"League",L540&lt;&gt;"VALID"),"",COUNTIFS($J$6:J540,J540,$G$6:G540,G540,$C$6:C540,"League"))</f>
        <v/>
      </c>
      <c r="N540" s="31" t="str">
        <f t="shared" si="25"/>
        <v/>
      </c>
      <c r="O540" s="37" t="str">
        <f t="shared" si="26"/>
        <v/>
      </c>
    </row>
    <row r="541" spans="1:15" ht="15">
      <c r="A541" s="30">
        <v>112</v>
      </c>
      <c r="B541" s="31" t="s">
        <v>501</v>
      </c>
      <c r="C541" s="31" t="s">
        <v>473</v>
      </c>
      <c r="D541" s="31" t="s">
        <v>479</v>
      </c>
      <c r="E541" s="31" t="s">
        <v>477</v>
      </c>
      <c r="F541" s="31" t="str">
        <f>IF(H541=1,INDEX('Match Results'!$G$6:$G$185,MATCH(A541,'Match Results'!$A$6:$A$185,0)),INDEX('Match Results'!$H$6:$H$185,MATCH(A541,'Match Results'!$A$6:$A$185,0)))</f>
        <v>A2</v>
      </c>
      <c r="G541" s="31" t="str">
        <f>IF(H541=1,INDEX('Match Results'!$H$6:$H$185,MATCH(A541,'Match Results'!$A$6:$A$185,0)),INDEX('Match Results'!$G$6:$G$185,MATCH(A541,'Match Results'!$A$6:$A$185,0)))</f>
        <v>A4</v>
      </c>
      <c r="H541" s="31">
        <v>1</v>
      </c>
      <c r="I541" s="31">
        <v>2</v>
      </c>
      <c r="J541" s="32"/>
      <c r="K541" s="31" t="str">
        <f>IF(J541="","",IFERROR(INDEX('Team Rosters'!$C$6:$C$205,MATCH(J541,'Team Rosters'!$B$6:$B$205,0)),"CODE NOT FOUND"))</f>
        <v/>
      </c>
      <c r="L541" s="31" t="str">
        <f t="shared" si="24"/>
        <v/>
      </c>
      <c r="M541" s="31" t="str">
        <f>IF(OR(J541="",C541&lt;&gt;"League",L541&lt;&gt;"VALID"),"",COUNTIFS($J$6:J541,J541,$G$6:G541,G541,$C$6:C541,"League"))</f>
        <v/>
      </c>
      <c r="N541" s="31" t="str">
        <f t="shared" si="25"/>
        <v/>
      </c>
      <c r="O541" s="37" t="str">
        <f t="shared" si="26"/>
        <v/>
      </c>
    </row>
    <row r="542" spans="1:15" ht="15">
      <c r="A542" s="30">
        <v>112</v>
      </c>
      <c r="B542" s="31" t="s">
        <v>501</v>
      </c>
      <c r="C542" s="31" t="s">
        <v>473</v>
      </c>
      <c r="D542" s="31" t="s">
        <v>479</v>
      </c>
      <c r="E542" s="31" t="s">
        <v>477</v>
      </c>
      <c r="F542" s="31" t="str">
        <f>IF(H542=1,INDEX('Match Results'!$G$6:$G$185,MATCH(A542,'Match Results'!$A$6:$A$185,0)),INDEX('Match Results'!$H$6:$H$185,MATCH(A542,'Match Results'!$A$6:$A$185,0)))</f>
        <v>A4</v>
      </c>
      <c r="G542" s="31" t="str">
        <f>IF(H542=1,INDEX('Match Results'!$H$6:$H$185,MATCH(A542,'Match Results'!$A$6:$A$185,0)),INDEX('Match Results'!$G$6:$G$185,MATCH(A542,'Match Results'!$A$6:$A$185,0)))</f>
        <v>A2</v>
      </c>
      <c r="H542" s="31">
        <v>2</v>
      </c>
      <c r="I542" s="31">
        <v>3</v>
      </c>
      <c r="J542" s="50"/>
      <c r="K542" s="31" t="str">
        <f>IF(J542="","",IFERROR(INDEX('Team Rosters'!$C$6:$C$205,MATCH(J542,'Team Rosters'!$B$6:$B$205,0)),"CODE NOT FOUND"))</f>
        <v/>
      </c>
      <c r="L542" s="31" t="str">
        <f t="shared" si="24"/>
        <v/>
      </c>
      <c r="M542" s="31" t="str">
        <f>IF(OR(J542="",C542&lt;&gt;"League",L542&lt;&gt;"VALID"),"",COUNTIFS($J$6:J542,J542,$G$6:G542,G542,$C$6:C542,"League"))</f>
        <v/>
      </c>
      <c r="N542" s="31" t="str">
        <f t="shared" si="25"/>
        <v/>
      </c>
      <c r="O542" s="37" t="str">
        <f t="shared" si="26"/>
        <v/>
      </c>
    </row>
    <row r="543" spans="1:15" ht="15">
      <c r="A543" s="30">
        <v>112</v>
      </c>
      <c r="B543" s="31" t="s">
        <v>501</v>
      </c>
      <c r="C543" s="31" t="s">
        <v>473</v>
      </c>
      <c r="D543" s="31" t="s">
        <v>479</v>
      </c>
      <c r="E543" s="31" t="s">
        <v>477</v>
      </c>
      <c r="F543" s="31" t="str">
        <f>IF(H543=1,INDEX('Match Results'!$G$6:$G$185,MATCH(A543,'Match Results'!$A$6:$A$185,0)),INDEX('Match Results'!$H$6:$H$185,MATCH(A543,'Match Results'!$A$6:$A$185,0)))</f>
        <v>A4</v>
      </c>
      <c r="G543" s="31" t="str">
        <f>IF(H543=1,INDEX('Match Results'!$H$6:$H$185,MATCH(A543,'Match Results'!$A$6:$A$185,0)),INDEX('Match Results'!$G$6:$G$185,MATCH(A543,'Match Results'!$A$6:$A$185,0)))</f>
        <v>A2</v>
      </c>
      <c r="H543" s="31">
        <v>2</v>
      </c>
      <c r="I543" s="31">
        <v>4</v>
      </c>
      <c r="J543" s="32"/>
      <c r="K543" s="31" t="str">
        <f>IF(J543="","",IFERROR(INDEX('Team Rosters'!$C$6:$C$205,MATCH(J543,'Team Rosters'!$B$6:$B$205,0)),"CODE NOT FOUND"))</f>
        <v/>
      </c>
      <c r="L543" s="31" t="str">
        <f t="shared" si="24"/>
        <v/>
      </c>
      <c r="M543" s="31" t="str">
        <f>IF(OR(J543="",C543&lt;&gt;"League",L543&lt;&gt;"VALID"),"",COUNTIFS($J$6:J543,J543,$G$6:G543,G543,$C$6:C543,"League"))</f>
        <v/>
      </c>
      <c r="N543" s="31" t="str">
        <f t="shared" si="25"/>
        <v/>
      </c>
      <c r="O543" s="37" t="str">
        <f t="shared" si="26"/>
        <v/>
      </c>
    </row>
    <row r="544" spans="1:15" ht="15">
      <c r="A544" s="30">
        <v>113</v>
      </c>
      <c r="B544" s="31" t="s">
        <v>501</v>
      </c>
      <c r="C544" s="31" t="s">
        <v>473</v>
      </c>
      <c r="D544" s="31" t="s">
        <v>479</v>
      </c>
      <c r="E544" s="31" t="s">
        <v>472</v>
      </c>
      <c r="F544" s="31" t="str">
        <f>IF(H544=1,INDEX('Match Results'!$G$6:$G$185,MATCH(A544,'Match Results'!$A$6:$A$185,0)),INDEX('Match Results'!$H$6:$H$185,MATCH(A544,'Match Results'!$A$6:$A$185,0)))</f>
        <v>B1</v>
      </c>
      <c r="G544" s="31" t="str">
        <f>IF(H544=1,INDEX('Match Results'!$H$6:$H$185,MATCH(A544,'Match Results'!$A$6:$A$185,0)),INDEX('Match Results'!$G$6:$G$185,MATCH(A544,'Match Results'!$A$6:$A$185,0)))</f>
        <v>B2</v>
      </c>
      <c r="H544" s="31">
        <v>1</v>
      </c>
      <c r="I544" s="31">
        <v>1</v>
      </c>
      <c r="J544" s="32"/>
      <c r="K544" s="31" t="str">
        <f>IF(J544="","",IFERROR(INDEX('Team Rosters'!$C$6:$C$205,MATCH(J544,'Team Rosters'!$B$6:$B$205,0)),"CODE NOT FOUND"))</f>
        <v/>
      </c>
      <c r="L544" s="31" t="str">
        <f t="shared" si="24"/>
        <v/>
      </c>
      <c r="M544" s="31" t="str">
        <f>IF(OR(J544="",C544&lt;&gt;"League",L544&lt;&gt;"VALID"),"",COUNTIFS($J$6:J544,J544,$G$6:G544,G544,$C$6:C544,"League"))</f>
        <v/>
      </c>
      <c r="N544" s="31" t="str">
        <f t="shared" si="25"/>
        <v/>
      </c>
      <c r="O544" s="37" t="str">
        <f t="shared" si="26"/>
        <v/>
      </c>
    </row>
    <row r="545" spans="1:15" ht="15">
      <c r="A545" s="30">
        <v>113</v>
      </c>
      <c r="B545" s="31" t="s">
        <v>501</v>
      </c>
      <c r="C545" s="31" t="s">
        <v>473</v>
      </c>
      <c r="D545" s="31" t="s">
        <v>479</v>
      </c>
      <c r="E545" s="31" t="s">
        <v>472</v>
      </c>
      <c r="F545" s="31" t="str">
        <f>IF(H545=1,INDEX('Match Results'!$G$6:$G$185,MATCH(A545,'Match Results'!$A$6:$A$185,0)),INDEX('Match Results'!$H$6:$H$185,MATCH(A545,'Match Results'!$A$6:$A$185,0)))</f>
        <v>B1</v>
      </c>
      <c r="G545" s="31" t="str">
        <f>IF(H545=1,INDEX('Match Results'!$H$6:$H$185,MATCH(A545,'Match Results'!$A$6:$A$185,0)),INDEX('Match Results'!$G$6:$G$185,MATCH(A545,'Match Results'!$A$6:$A$185,0)))</f>
        <v>B2</v>
      </c>
      <c r="H545" s="31">
        <v>1</v>
      </c>
      <c r="I545" s="31">
        <v>2</v>
      </c>
      <c r="J545" s="32"/>
      <c r="K545" s="31" t="str">
        <f>IF(J545="","",IFERROR(INDEX('Team Rosters'!$C$6:$C$205,MATCH(J545,'Team Rosters'!$B$6:$B$205,0)),"CODE NOT FOUND"))</f>
        <v/>
      </c>
      <c r="L545" s="31" t="str">
        <f t="shared" si="24"/>
        <v/>
      </c>
      <c r="M545" s="31" t="str">
        <f>IF(OR(J545="",C545&lt;&gt;"League",L545&lt;&gt;"VALID"),"",COUNTIFS($J$6:J545,J545,$G$6:G545,G545,$C$6:C545,"League"))</f>
        <v/>
      </c>
      <c r="N545" s="31" t="str">
        <f t="shared" si="25"/>
        <v/>
      </c>
      <c r="O545" s="37" t="str">
        <f t="shared" si="26"/>
        <v/>
      </c>
    </row>
    <row r="546" spans="1:15" ht="15">
      <c r="A546" s="30">
        <v>113</v>
      </c>
      <c r="B546" s="31" t="s">
        <v>501</v>
      </c>
      <c r="C546" s="31" t="s">
        <v>473</v>
      </c>
      <c r="D546" s="31" t="s">
        <v>479</v>
      </c>
      <c r="E546" s="31" t="s">
        <v>472</v>
      </c>
      <c r="F546" s="31" t="str">
        <f>IF(H546=1,INDEX('Match Results'!$G$6:$G$185,MATCH(A546,'Match Results'!$A$6:$A$185,0)),INDEX('Match Results'!$H$6:$H$185,MATCH(A546,'Match Results'!$A$6:$A$185,0)))</f>
        <v>B2</v>
      </c>
      <c r="G546" s="31" t="str">
        <f>IF(H546=1,INDEX('Match Results'!$H$6:$H$185,MATCH(A546,'Match Results'!$A$6:$A$185,0)),INDEX('Match Results'!$G$6:$G$185,MATCH(A546,'Match Results'!$A$6:$A$185,0)))</f>
        <v>B1</v>
      </c>
      <c r="H546" s="31">
        <v>2</v>
      </c>
      <c r="I546" s="31">
        <v>3</v>
      </c>
      <c r="J546" s="32"/>
      <c r="K546" s="31" t="str">
        <f>IF(J546="","",IFERROR(INDEX('Team Rosters'!$C$6:$C$205,MATCH(J546,'Team Rosters'!$B$6:$B$205,0)),"CODE NOT FOUND"))</f>
        <v/>
      </c>
      <c r="L546" s="31" t="str">
        <f t="shared" si="24"/>
        <v/>
      </c>
      <c r="M546" s="31" t="str">
        <f>IF(OR(J546="",C546&lt;&gt;"League",L546&lt;&gt;"VALID"),"",COUNTIFS($J$6:J546,J546,$G$6:G546,G546,$C$6:C546,"League"))</f>
        <v/>
      </c>
      <c r="N546" s="31" t="str">
        <f t="shared" si="25"/>
        <v/>
      </c>
      <c r="O546" s="37" t="str">
        <f t="shared" si="26"/>
        <v/>
      </c>
    </row>
    <row r="547" spans="1:15" ht="15">
      <c r="A547" s="30">
        <v>113</v>
      </c>
      <c r="B547" s="31" t="s">
        <v>501</v>
      </c>
      <c r="C547" s="31" t="s">
        <v>473</v>
      </c>
      <c r="D547" s="31" t="s">
        <v>479</v>
      </c>
      <c r="E547" s="31" t="s">
        <v>472</v>
      </c>
      <c r="F547" s="31" t="str">
        <f>IF(H547=1,INDEX('Match Results'!$G$6:$G$185,MATCH(A547,'Match Results'!$A$6:$A$185,0)),INDEX('Match Results'!$H$6:$H$185,MATCH(A547,'Match Results'!$A$6:$A$185,0)))</f>
        <v>B2</v>
      </c>
      <c r="G547" s="31" t="str">
        <f>IF(H547=1,INDEX('Match Results'!$H$6:$H$185,MATCH(A547,'Match Results'!$A$6:$A$185,0)),INDEX('Match Results'!$G$6:$G$185,MATCH(A547,'Match Results'!$A$6:$A$185,0)))</f>
        <v>B1</v>
      </c>
      <c r="H547" s="31">
        <v>2</v>
      </c>
      <c r="I547" s="31">
        <v>4</v>
      </c>
      <c r="J547" s="32"/>
      <c r="K547" s="31" t="str">
        <f>IF(J547="","",IFERROR(INDEX('Team Rosters'!$C$6:$C$205,MATCH(J547,'Team Rosters'!$B$6:$B$205,0)),"CODE NOT FOUND"))</f>
        <v/>
      </c>
      <c r="L547" s="31" t="str">
        <f t="shared" si="24"/>
        <v/>
      </c>
      <c r="M547" s="31" t="str">
        <f>IF(OR(J547="",C547&lt;&gt;"League",L547&lt;&gt;"VALID"),"",COUNTIFS($J$6:J547,J547,$G$6:G547,G547,$C$6:C547,"League"))</f>
        <v/>
      </c>
      <c r="N547" s="31" t="str">
        <f t="shared" si="25"/>
        <v/>
      </c>
      <c r="O547" s="37" t="str">
        <f t="shared" si="26"/>
        <v/>
      </c>
    </row>
    <row r="548" spans="1:15" ht="15">
      <c r="A548" s="30">
        <v>114</v>
      </c>
      <c r="B548" s="31" t="s">
        <v>501</v>
      </c>
      <c r="C548" s="31" t="s">
        <v>473</v>
      </c>
      <c r="D548" s="31" t="s">
        <v>479</v>
      </c>
      <c r="E548" s="31" t="s">
        <v>475</v>
      </c>
      <c r="F548" s="31" t="str">
        <f>IF(H548=1,INDEX('Match Results'!$G$6:$G$185,MATCH(A548,'Match Results'!$A$6:$A$185,0)),INDEX('Match Results'!$H$6:$H$185,MATCH(A548,'Match Results'!$A$6:$A$185,0)))</f>
        <v>B3</v>
      </c>
      <c r="G548" s="31" t="str">
        <f>IF(H548=1,INDEX('Match Results'!$H$6:$H$185,MATCH(A548,'Match Results'!$A$6:$A$185,0)),INDEX('Match Results'!$G$6:$G$185,MATCH(A548,'Match Results'!$A$6:$A$185,0)))</f>
        <v>B4</v>
      </c>
      <c r="H548" s="31">
        <v>1</v>
      </c>
      <c r="I548" s="31">
        <v>1</v>
      </c>
      <c r="J548" s="32"/>
      <c r="K548" s="31" t="str">
        <f>IF(J548="","",IFERROR(INDEX('Team Rosters'!$C$6:$C$205,MATCH(J548,'Team Rosters'!$B$6:$B$205,0)),"CODE NOT FOUND"))</f>
        <v/>
      </c>
      <c r="L548" s="31" t="str">
        <f t="shared" si="24"/>
        <v/>
      </c>
      <c r="M548" s="31" t="str">
        <f>IF(OR(J548="",C548&lt;&gt;"League",L548&lt;&gt;"VALID"),"",COUNTIFS($J$6:J548,J548,$G$6:G548,G548,$C$6:C548,"League"))</f>
        <v/>
      </c>
      <c r="N548" s="31" t="str">
        <f t="shared" si="25"/>
        <v/>
      </c>
      <c r="O548" s="37" t="str">
        <f t="shared" si="26"/>
        <v/>
      </c>
    </row>
    <row r="549" spans="1:15" ht="15">
      <c r="A549" s="30">
        <v>114</v>
      </c>
      <c r="B549" s="31" t="s">
        <v>501</v>
      </c>
      <c r="C549" s="31" t="s">
        <v>473</v>
      </c>
      <c r="D549" s="31" t="s">
        <v>479</v>
      </c>
      <c r="E549" s="31" t="s">
        <v>475</v>
      </c>
      <c r="F549" s="31" t="str">
        <f>IF(H549=1,INDEX('Match Results'!$G$6:$G$185,MATCH(A549,'Match Results'!$A$6:$A$185,0)),INDEX('Match Results'!$H$6:$H$185,MATCH(A549,'Match Results'!$A$6:$A$185,0)))</f>
        <v>B3</v>
      </c>
      <c r="G549" s="31" t="str">
        <f>IF(H549=1,INDEX('Match Results'!$H$6:$H$185,MATCH(A549,'Match Results'!$A$6:$A$185,0)),INDEX('Match Results'!$G$6:$G$185,MATCH(A549,'Match Results'!$A$6:$A$185,0)))</f>
        <v>B4</v>
      </c>
      <c r="H549" s="31">
        <v>1</v>
      </c>
      <c r="I549" s="31">
        <v>2</v>
      </c>
      <c r="J549" s="32"/>
      <c r="K549" s="31" t="str">
        <f>IF(J549="","",IFERROR(INDEX('Team Rosters'!$C$6:$C$205,MATCH(J549,'Team Rosters'!$B$6:$B$205,0)),"CODE NOT FOUND"))</f>
        <v/>
      </c>
      <c r="L549" s="31" t="str">
        <f t="shared" si="24"/>
        <v/>
      </c>
      <c r="M549" s="31" t="str">
        <f>IF(OR(J549="",C549&lt;&gt;"League",L549&lt;&gt;"VALID"),"",COUNTIFS($J$6:J549,J549,$G$6:G549,G549,$C$6:C549,"League"))</f>
        <v/>
      </c>
      <c r="N549" s="31" t="str">
        <f t="shared" si="25"/>
        <v/>
      </c>
      <c r="O549" s="37" t="str">
        <f t="shared" si="26"/>
        <v/>
      </c>
    </row>
    <row r="550" spans="1:15" ht="15">
      <c r="A550" s="30">
        <v>114</v>
      </c>
      <c r="B550" s="31" t="s">
        <v>501</v>
      </c>
      <c r="C550" s="31" t="s">
        <v>473</v>
      </c>
      <c r="D550" s="31" t="s">
        <v>479</v>
      </c>
      <c r="E550" s="31" t="s">
        <v>475</v>
      </c>
      <c r="F550" s="31" t="str">
        <f>IF(H550=1,INDEX('Match Results'!$G$6:$G$185,MATCH(A550,'Match Results'!$A$6:$A$185,0)),INDEX('Match Results'!$H$6:$H$185,MATCH(A550,'Match Results'!$A$6:$A$185,0)))</f>
        <v>B4</v>
      </c>
      <c r="G550" s="31" t="str">
        <f>IF(H550=1,INDEX('Match Results'!$H$6:$H$185,MATCH(A550,'Match Results'!$A$6:$A$185,0)),INDEX('Match Results'!$G$6:$G$185,MATCH(A550,'Match Results'!$A$6:$A$185,0)))</f>
        <v>B3</v>
      </c>
      <c r="H550" s="31">
        <v>2</v>
      </c>
      <c r="I550" s="31">
        <v>3</v>
      </c>
      <c r="J550" s="32"/>
      <c r="K550" s="31" t="str">
        <f>IF(J550="","",IFERROR(INDEX('Team Rosters'!$C$6:$C$205,MATCH(J550,'Team Rosters'!$B$6:$B$205,0)),"CODE NOT FOUND"))</f>
        <v/>
      </c>
      <c r="L550" s="31" t="str">
        <f t="shared" si="24"/>
        <v/>
      </c>
      <c r="M550" s="31" t="str">
        <f>IF(OR(J550="",C550&lt;&gt;"League",L550&lt;&gt;"VALID"),"",COUNTIFS($J$6:J550,J550,$G$6:G550,G550,$C$6:C550,"League"))</f>
        <v/>
      </c>
      <c r="N550" s="31" t="str">
        <f t="shared" si="25"/>
        <v/>
      </c>
      <c r="O550" s="37" t="str">
        <f t="shared" si="26"/>
        <v/>
      </c>
    </row>
    <row r="551" spans="1:15" ht="15">
      <c r="A551" s="30">
        <v>114</v>
      </c>
      <c r="B551" s="31" t="s">
        <v>501</v>
      </c>
      <c r="C551" s="31" t="s">
        <v>473</v>
      </c>
      <c r="D551" s="31" t="s">
        <v>479</v>
      </c>
      <c r="E551" s="31" t="s">
        <v>475</v>
      </c>
      <c r="F551" s="31" t="str">
        <f>IF(H551=1,INDEX('Match Results'!$G$6:$G$185,MATCH(A551,'Match Results'!$A$6:$A$185,0)),INDEX('Match Results'!$H$6:$H$185,MATCH(A551,'Match Results'!$A$6:$A$185,0)))</f>
        <v>B4</v>
      </c>
      <c r="G551" s="31" t="str">
        <f>IF(H551=1,INDEX('Match Results'!$H$6:$H$185,MATCH(A551,'Match Results'!$A$6:$A$185,0)),INDEX('Match Results'!$G$6:$G$185,MATCH(A551,'Match Results'!$A$6:$A$185,0)))</f>
        <v>B3</v>
      </c>
      <c r="H551" s="31">
        <v>2</v>
      </c>
      <c r="I551" s="31">
        <v>4</v>
      </c>
      <c r="J551" s="32"/>
      <c r="K551" s="31" t="str">
        <f>IF(J551="","",IFERROR(INDEX('Team Rosters'!$C$6:$C$205,MATCH(J551,'Team Rosters'!$B$6:$B$205,0)),"CODE NOT FOUND"))</f>
        <v/>
      </c>
      <c r="L551" s="31" t="str">
        <f t="shared" si="24"/>
        <v/>
      </c>
      <c r="M551" s="31" t="str">
        <f>IF(OR(J551="",C551&lt;&gt;"League",L551&lt;&gt;"VALID"),"",COUNTIFS($J$6:J551,J551,$G$6:G551,G551,$C$6:C551,"League"))</f>
        <v/>
      </c>
      <c r="N551" s="31" t="str">
        <f t="shared" si="25"/>
        <v/>
      </c>
      <c r="O551" s="37" t="str">
        <f t="shared" si="26"/>
        <v/>
      </c>
    </row>
    <row r="552" spans="1:15" ht="15">
      <c r="A552" s="30">
        <v>115</v>
      </c>
      <c r="B552" s="31" t="s">
        <v>501</v>
      </c>
      <c r="C552" s="31" t="s">
        <v>473</v>
      </c>
      <c r="D552" s="31" t="s">
        <v>483</v>
      </c>
      <c r="E552" s="31" t="s">
        <v>472</v>
      </c>
      <c r="F552" s="31" t="str">
        <f>IF(H552=1,INDEX('Match Results'!$G$6:$G$185,MATCH(A552,'Match Results'!$A$6:$A$185,0)),INDEX('Match Results'!$H$6:$H$185,MATCH(A552,'Match Results'!$A$6:$A$185,0)))</f>
        <v>A1</v>
      </c>
      <c r="G552" s="31" t="str">
        <f>IF(H552=1,INDEX('Match Results'!$H$6:$H$185,MATCH(A552,'Match Results'!$A$6:$A$185,0)),INDEX('Match Results'!$G$6:$G$185,MATCH(A552,'Match Results'!$A$6:$A$185,0)))</f>
        <v>A3</v>
      </c>
      <c r="H552" s="31">
        <v>1</v>
      </c>
      <c r="I552" s="31">
        <v>1</v>
      </c>
      <c r="J552" s="32"/>
      <c r="K552" s="31" t="str">
        <f>IF(J552="","",IFERROR(INDEX('Team Rosters'!$C$6:$C$205,MATCH(J552,'Team Rosters'!$B$6:$B$205,0)),"CODE NOT FOUND"))</f>
        <v/>
      </c>
      <c r="L552" s="31" t="str">
        <f t="shared" si="24"/>
        <v/>
      </c>
      <c r="M552" s="31" t="str">
        <f>IF(OR(J552="",C552&lt;&gt;"League",L552&lt;&gt;"VALID"),"",COUNTIFS($J$6:J552,J552,$G$6:G552,G552,$C$6:C552,"League"))</f>
        <v/>
      </c>
      <c r="N552" s="31" t="str">
        <f t="shared" si="25"/>
        <v/>
      </c>
      <c r="O552" s="37" t="str">
        <f t="shared" si="26"/>
        <v/>
      </c>
    </row>
    <row r="553" spans="1:15" ht="15">
      <c r="A553" s="30">
        <v>115</v>
      </c>
      <c r="B553" s="31" t="s">
        <v>501</v>
      </c>
      <c r="C553" s="31" t="s">
        <v>473</v>
      </c>
      <c r="D553" s="31" t="s">
        <v>483</v>
      </c>
      <c r="E553" s="31" t="s">
        <v>472</v>
      </c>
      <c r="F553" s="31" t="str">
        <f>IF(H553=1,INDEX('Match Results'!$G$6:$G$185,MATCH(A553,'Match Results'!$A$6:$A$185,0)),INDEX('Match Results'!$H$6:$H$185,MATCH(A553,'Match Results'!$A$6:$A$185,0)))</f>
        <v>A1</v>
      </c>
      <c r="G553" s="31" t="str">
        <f>IF(H553=1,INDEX('Match Results'!$H$6:$H$185,MATCH(A553,'Match Results'!$A$6:$A$185,0)),INDEX('Match Results'!$G$6:$G$185,MATCH(A553,'Match Results'!$A$6:$A$185,0)))</f>
        <v>A3</v>
      </c>
      <c r="H553" s="31">
        <v>1</v>
      </c>
      <c r="I553" s="31">
        <v>2</v>
      </c>
      <c r="J553" s="32"/>
      <c r="K553" s="31" t="str">
        <f>IF(J553="","",IFERROR(INDEX('Team Rosters'!$C$6:$C$205,MATCH(J553,'Team Rosters'!$B$6:$B$205,0)),"CODE NOT FOUND"))</f>
        <v/>
      </c>
      <c r="L553" s="31" t="str">
        <f t="shared" si="24"/>
        <v/>
      </c>
      <c r="M553" s="31" t="str">
        <f>IF(OR(J553="",C553&lt;&gt;"League",L553&lt;&gt;"VALID"),"",COUNTIFS($J$6:J553,J553,$G$6:G553,G553,$C$6:C553,"League"))</f>
        <v/>
      </c>
      <c r="N553" s="31" t="str">
        <f t="shared" si="25"/>
        <v/>
      </c>
      <c r="O553" s="37" t="str">
        <f t="shared" si="26"/>
        <v/>
      </c>
    </row>
    <row r="554" spans="1:15" ht="15">
      <c r="A554" s="30">
        <v>115</v>
      </c>
      <c r="B554" s="31" t="s">
        <v>501</v>
      </c>
      <c r="C554" s="31" t="s">
        <v>473</v>
      </c>
      <c r="D554" s="31" t="s">
        <v>483</v>
      </c>
      <c r="E554" s="31" t="s">
        <v>472</v>
      </c>
      <c r="F554" s="31" t="str">
        <f>IF(H554=1,INDEX('Match Results'!$G$6:$G$185,MATCH(A554,'Match Results'!$A$6:$A$185,0)),INDEX('Match Results'!$H$6:$H$185,MATCH(A554,'Match Results'!$A$6:$A$185,0)))</f>
        <v>A3</v>
      </c>
      <c r="G554" s="31" t="str">
        <f>IF(H554=1,INDEX('Match Results'!$H$6:$H$185,MATCH(A554,'Match Results'!$A$6:$A$185,0)),INDEX('Match Results'!$G$6:$G$185,MATCH(A554,'Match Results'!$A$6:$A$185,0)))</f>
        <v>A1</v>
      </c>
      <c r="H554" s="31">
        <v>2</v>
      </c>
      <c r="I554" s="31">
        <v>3</v>
      </c>
      <c r="J554" s="32"/>
      <c r="K554" s="31" t="str">
        <f>IF(J554="","",IFERROR(INDEX('Team Rosters'!$C$6:$C$205,MATCH(J554,'Team Rosters'!$B$6:$B$205,0)),"CODE NOT FOUND"))</f>
        <v/>
      </c>
      <c r="L554" s="31" t="str">
        <f t="shared" si="24"/>
        <v/>
      </c>
      <c r="M554" s="31" t="str">
        <f>IF(OR(J554="",C554&lt;&gt;"League",L554&lt;&gt;"VALID"),"",COUNTIFS($J$6:J554,J554,$G$6:G554,G554,$C$6:C554,"League"))</f>
        <v/>
      </c>
      <c r="N554" s="31" t="str">
        <f t="shared" si="25"/>
        <v/>
      </c>
      <c r="O554" s="37" t="str">
        <f t="shared" si="26"/>
        <v/>
      </c>
    </row>
    <row r="555" spans="1:15" ht="15">
      <c r="A555" s="30">
        <v>115</v>
      </c>
      <c r="B555" s="31" t="s">
        <v>501</v>
      </c>
      <c r="C555" s="31" t="s">
        <v>473</v>
      </c>
      <c r="D555" s="31" t="s">
        <v>483</v>
      </c>
      <c r="E555" s="31" t="s">
        <v>472</v>
      </c>
      <c r="F555" s="31" t="str">
        <f>IF(H555=1,INDEX('Match Results'!$G$6:$G$185,MATCH(A555,'Match Results'!$A$6:$A$185,0)),INDEX('Match Results'!$H$6:$H$185,MATCH(A555,'Match Results'!$A$6:$A$185,0)))</f>
        <v>A3</v>
      </c>
      <c r="G555" s="31" t="str">
        <f>IF(H555=1,INDEX('Match Results'!$H$6:$H$185,MATCH(A555,'Match Results'!$A$6:$A$185,0)),INDEX('Match Results'!$G$6:$G$185,MATCH(A555,'Match Results'!$A$6:$A$185,0)))</f>
        <v>A1</v>
      </c>
      <c r="H555" s="31">
        <v>2</v>
      </c>
      <c r="I555" s="31">
        <v>4</v>
      </c>
      <c r="J555" s="32"/>
      <c r="K555" s="31" t="str">
        <f>IF(J555="","",IFERROR(INDEX('Team Rosters'!$C$6:$C$205,MATCH(J555,'Team Rosters'!$B$6:$B$205,0)),"CODE NOT FOUND"))</f>
        <v/>
      </c>
      <c r="L555" s="31" t="str">
        <f t="shared" si="24"/>
        <v/>
      </c>
      <c r="M555" s="31" t="str">
        <f>IF(OR(J555="",C555&lt;&gt;"League",L555&lt;&gt;"VALID"),"",COUNTIFS($J$6:J555,J555,$G$6:G555,G555,$C$6:C555,"League"))</f>
        <v/>
      </c>
      <c r="N555" s="31" t="str">
        <f t="shared" si="25"/>
        <v/>
      </c>
      <c r="O555" s="37" t="str">
        <f t="shared" si="26"/>
        <v/>
      </c>
    </row>
    <row r="556" spans="1:15" ht="15">
      <c r="A556" s="30">
        <v>116</v>
      </c>
      <c r="B556" s="31" t="s">
        <v>501</v>
      </c>
      <c r="C556" s="31" t="s">
        <v>473</v>
      </c>
      <c r="D556" s="31" t="s">
        <v>483</v>
      </c>
      <c r="E556" s="31" t="s">
        <v>477</v>
      </c>
      <c r="F556" s="31" t="str">
        <f>IF(H556=1,INDEX('Match Results'!$G$6:$G$185,MATCH(A556,'Match Results'!$A$6:$A$185,0)),INDEX('Match Results'!$H$6:$H$185,MATCH(A556,'Match Results'!$A$6:$A$185,0)))</f>
        <v>B2</v>
      </c>
      <c r="G556" s="31" t="str">
        <f>IF(H556=1,INDEX('Match Results'!$H$6:$H$185,MATCH(A556,'Match Results'!$A$6:$A$185,0)),INDEX('Match Results'!$G$6:$G$185,MATCH(A556,'Match Results'!$A$6:$A$185,0)))</f>
        <v>B4</v>
      </c>
      <c r="H556" s="31">
        <v>1</v>
      </c>
      <c r="I556" s="31">
        <v>1</v>
      </c>
      <c r="J556" s="32"/>
      <c r="K556" s="31" t="str">
        <f>IF(J556="","",IFERROR(INDEX('Team Rosters'!$C$6:$C$205,MATCH(J556,'Team Rosters'!$B$6:$B$205,0)),"CODE NOT FOUND"))</f>
        <v/>
      </c>
      <c r="L556" s="31" t="str">
        <f t="shared" si="24"/>
        <v/>
      </c>
      <c r="M556" s="31" t="str">
        <f>IF(OR(J556="",C556&lt;&gt;"League",L556&lt;&gt;"VALID"),"",COUNTIFS($J$6:J556,J556,$G$6:G556,G556,$C$6:C556,"League"))</f>
        <v/>
      </c>
      <c r="N556" s="31" t="str">
        <f t="shared" si="25"/>
        <v/>
      </c>
      <c r="O556" s="37" t="str">
        <f t="shared" si="26"/>
        <v/>
      </c>
    </row>
    <row r="557" spans="1:15" ht="15">
      <c r="A557" s="30">
        <v>116</v>
      </c>
      <c r="B557" s="31" t="s">
        <v>501</v>
      </c>
      <c r="C557" s="31" t="s">
        <v>473</v>
      </c>
      <c r="D557" s="31" t="s">
        <v>483</v>
      </c>
      <c r="E557" s="31" t="s">
        <v>477</v>
      </c>
      <c r="F557" s="31" t="str">
        <f>IF(H557=1,INDEX('Match Results'!$G$6:$G$185,MATCH(A557,'Match Results'!$A$6:$A$185,0)),INDEX('Match Results'!$H$6:$H$185,MATCH(A557,'Match Results'!$A$6:$A$185,0)))</f>
        <v>B2</v>
      </c>
      <c r="G557" s="31" t="str">
        <f>IF(H557=1,INDEX('Match Results'!$H$6:$H$185,MATCH(A557,'Match Results'!$A$6:$A$185,0)),INDEX('Match Results'!$G$6:$G$185,MATCH(A557,'Match Results'!$A$6:$A$185,0)))</f>
        <v>B4</v>
      </c>
      <c r="H557" s="31">
        <v>1</v>
      </c>
      <c r="I557" s="31">
        <v>2</v>
      </c>
      <c r="J557" s="32"/>
      <c r="K557" s="31" t="str">
        <f>IF(J557="","",IFERROR(INDEX('Team Rosters'!$C$6:$C$205,MATCH(J557,'Team Rosters'!$B$6:$B$205,0)),"CODE NOT FOUND"))</f>
        <v/>
      </c>
      <c r="L557" s="31" t="str">
        <f t="shared" si="24"/>
        <v/>
      </c>
      <c r="M557" s="31" t="str">
        <f>IF(OR(J557="",C557&lt;&gt;"League",L557&lt;&gt;"VALID"),"",COUNTIFS($J$6:J557,J557,$G$6:G557,G557,$C$6:C557,"League"))</f>
        <v/>
      </c>
      <c r="N557" s="31" t="str">
        <f t="shared" si="25"/>
        <v/>
      </c>
      <c r="O557" s="37" t="str">
        <f t="shared" si="26"/>
        <v/>
      </c>
    </row>
    <row r="558" spans="1:15" ht="15">
      <c r="A558" s="30">
        <v>116</v>
      </c>
      <c r="B558" s="31" t="s">
        <v>501</v>
      </c>
      <c r="C558" s="31" t="s">
        <v>473</v>
      </c>
      <c r="D558" s="31" t="s">
        <v>483</v>
      </c>
      <c r="E558" s="31" t="s">
        <v>477</v>
      </c>
      <c r="F558" s="31" t="str">
        <f>IF(H558=1,INDEX('Match Results'!$G$6:$G$185,MATCH(A558,'Match Results'!$A$6:$A$185,0)),INDEX('Match Results'!$H$6:$H$185,MATCH(A558,'Match Results'!$A$6:$A$185,0)))</f>
        <v>B4</v>
      </c>
      <c r="G558" s="31" t="str">
        <f>IF(H558=1,INDEX('Match Results'!$H$6:$H$185,MATCH(A558,'Match Results'!$A$6:$A$185,0)),INDEX('Match Results'!$G$6:$G$185,MATCH(A558,'Match Results'!$A$6:$A$185,0)))</f>
        <v>B2</v>
      </c>
      <c r="H558" s="31">
        <v>2</v>
      </c>
      <c r="I558" s="31">
        <v>3</v>
      </c>
      <c r="J558" s="32"/>
      <c r="K558" s="31" t="str">
        <f>IF(J558="","",IFERROR(INDEX('Team Rosters'!$C$6:$C$205,MATCH(J558,'Team Rosters'!$B$6:$B$205,0)),"CODE NOT FOUND"))</f>
        <v/>
      </c>
      <c r="L558" s="31" t="str">
        <f t="shared" si="24"/>
        <v/>
      </c>
      <c r="M558" s="31" t="str">
        <f>IF(OR(J558="",C558&lt;&gt;"League",L558&lt;&gt;"VALID"),"",COUNTIFS($J$6:J558,J558,$G$6:G558,G558,$C$6:C558,"League"))</f>
        <v/>
      </c>
      <c r="N558" s="31" t="str">
        <f t="shared" si="25"/>
        <v/>
      </c>
      <c r="O558" s="37" t="str">
        <f t="shared" si="26"/>
        <v/>
      </c>
    </row>
    <row r="559" spans="1:15" ht="15">
      <c r="A559" s="30">
        <v>116</v>
      </c>
      <c r="B559" s="31" t="s">
        <v>501</v>
      </c>
      <c r="C559" s="31" t="s">
        <v>473</v>
      </c>
      <c r="D559" s="31" t="s">
        <v>483</v>
      </c>
      <c r="E559" s="31" t="s">
        <v>477</v>
      </c>
      <c r="F559" s="31" t="str">
        <f>IF(H559=1,INDEX('Match Results'!$G$6:$G$185,MATCH(A559,'Match Results'!$A$6:$A$185,0)),INDEX('Match Results'!$H$6:$H$185,MATCH(A559,'Match Results'!$A$6:$A$185,0)))</f>
        <v>B4</v>
      </c>
      <c r="G559" s="31" t="str">
        <f>IF(H559=1,INDEX('Match Results'!$H$6:$H$185,MATCH(A559,'Match Results'!$A$6:$A$185,0)),INDEX('Match Results'!$G$6:$G$185,MATCH(A559,'Match Results'!$A$6:$A$185,0)))</f>
        <v>B2</v>
      </c>
      <c r="H559" s="31">
        <v>2</v>
      </c>
      <c r="I559" s="31">
        <v>4</v>
      </c>
      <c r="J559" s="32"/>
      <c r="K559" s="31" t="str">
        <f>IF(J559="","",IFERROR(INDEX('Team Rosters'!$C$6:$C$205,MATCH(J559,'Team Rosters'!$B$6:$B$205,0)),"CODE NOT FOUND"))</f>
        <v/>
      </c>
      <c r="L559" s="31" t="str">
        <f t="shared" si="24"/>
        <v/>
      </c>
      <c r="M559" s="31" t="str">
        <f>IF(OR(J559="",C559&lt;&gt;"League",L559&lt;&gt;"VALID"),"",COUNTIFS($J$6:J559,J559,$G$6:G559,G559,$C$6:C559,"League"))</f>
        <v/>
      </c>
      <c r="N559" s="31" t="str">
        <f t="shared" si="25"/>
        <v/>
      </c>
      <c r="O559" s="37" t="str">
        <f t="shared" si="26"/>
        <v/>
      </c>
    </row>
    <row r="560" spans="1:15" ht="15">
      <c r="A560" s="30">
        <v>117</v>
      </c>
      <c r="B560" s="31" t="s">
        <v>501</v>
      </c>
      <c r="C560" s="31" t="s">
        <v>473</v>
      </c>
      <c r="D560" s="31" t="s">
        <v>486</v>
      </c>
      <c r="E560" s="31" t="s">
        <v>475</v>
      </c>
      <c r="F560" s="31" t="str">
        <f>IF(H560=1,INDEX('Match Results'!$G$6:$G$185,MATCH(A560,'Match Results'!$A$6:$A$185,0)),INDEX('Match Results'!$H$6:$H$185,MATCH(A560,'Match Results'!$A$6:$A$185,0)))</f>
        <v>A1</v>
      </c>
      <c r="G560" s="31" t="str">
        <f>IF(H560=1,INDEX('Match Results'!$H$6:$H$185,MATCH(A560,'Match Results'!$A$6:$A$185,0)),INDEX('Match Results'!$G$6:$G$185,MATCH(A560,'Match Results'!$A$6:$A$185,0)))</f>
        <v>A2</v>
      </c>
      <c r="H560" s="31">
        <v>1</v>
      </c>
      <c r="I560" s="31">
        <v>1</v>
      </c>
      <c r="J560" s="32"/>
      <c r="K560" s="31" t="str">
        <f>IF(J560="","",IFERROR(INDEX('Team Rosters'!$C$6:$C$205,MATCH(J560,'Team Rosters'!$B$6:$B$205,0)),"CODE NOT FOUND"))</f>
        <v/>
      </c>
      <c r="L560" s="31" t="str">
        <f t="shared" si="24"/>
        <v/>
      </c>
      <c r="M560" s="31" t="str">
        <f>IF(OR(J560="",C560&lt;&gt;"League",L560&lt;&gt;"VALID"),"",COUNTIFS($J$6:J560,J560,$G$6:G560,G560,$C$6:C560,"League"))</f>
        <v/>
      </c>
      <c r="N560" s="31" t="str">
        <f t="shared" si="25"/>
        <v/>
      </c>
      <c r="O560" s="37" t="str">
        <f t="shared" si="26"/>
        <v/>
      </c>
    </row>
    <row r="561" spans="1:15" ht="15">
      <c r="A561" s="30">
        <v>117</v>
      </c>
      <c r="B561" s="31" t="s">
        <v>501</v>
      </c>
      <c r="C561" s="31" t="s">
        <v>473</v>
      </c>
      <c r="D561" s="31" t="s">
        <v>486</v>
      </c>
      <c r="E561" s="31" t="s">
        <v>475</v>
      </c>
      <c r="F561" s="31" t="str">
        <f>IF(H561=1,INDEX('Match Results'!$G$6:$G$185,MATCH(A561,'Match Results'!$A$6:$A$185,0)),INDEX('Match Results'!$H$6:$H$185,MATCH(A561,'Match Results'!$A$6:$A$185,0)))</f>
        <v>A1</v>
      </c>
      <c r="G561" s="31" t="str">
        <f>IF(H561=1,INDEX('Match Results'!$H$6:$H$185,MATCH(A561,'Match Results'!$A$6:$A$185,0)),INDEX('Match Results'!$G$6:$G$185,MATCH(A561,'Match Results'!$A$6:$A$185,0)))</f>
        <v>A2</v>
      </c>
      <c r="H561" s="31">
        <v>1</v>
      </c>
      <c r="I561" s="31">
        <v>2</v>
      </c>
      <c r="J561" s="32"/>
      <c r="K561" s="31" t="str">
        <f>IF(J561="","",IFERROR(INDEX('Team Rosters'!$C$6:$C$205,MATCH(J561,'Team Rosters'!$B$6:$B$205,0)),"CODE NOT FOUND"))</f>
        <v/>
      </c>
      <c r="L561" s="31" t="str">
        <f t="shared" si="24"/>
        <v/>
      </c>
      <c r="M561" s="31" t="str">
        <f>IF(OR(J561="",C561&lt;&gt;"League",L561&lt;&gt;"VALID"),"",COUNTIFS($J$6:J561,J561,$G$6:G561,G561,$C$6:C561,"League"))</f>
        <v/>
      </c>
      <c r="N561" s="31" t="str">
        <f t="shared" si="25"/>
        <v/>
      </c>
      <c r="O561" s="37" t="str">
        <f t="shared" si="26"/>
        <v/>
      </c>
    </row>
    <row r="562" spans="1:15" ht="15">
      <c r="A562" s="30">
        <v>117</v>
      </c>
      <c r="B562" s="31" t="s">
        <v>501</v>
      </c>
      <c r="C562" s="31" t="s">
        <v>473</v>
      </c>
      <c r="D562" s="31" t="s">
        <v>486</v>
      </c>
      <c r="E562" s="31" t="s">
        <v>475</v>
      </c>
      <c r="F562" s="31" t="str">
        <f>IF(H562=1,INDEX('Match Results'!$G$6:$G$185,MATCH(A562,'Match Results'!$A$6:$A$185,0)),INDEX('Match Results'!$H$6:$H$185,MATCH(A562,'Match Results'!$A$6:$A$185,0)))</f>
        <v>A2</v>
      </c>
      <c r="G562" s="31" t="str">
        <f>IF(H562=1,INDEX('Match Results'!$H$6:$H$185,MATCH(A562,'Match Results'!$A$6:$A$185,0)),INDEX('Match Results'!$G$6:$G$185,MATCH(A562,'Match Results'!$A$6:$A$185,0)))</f>
        <v>A1</v>
      </c>
      <c r="H562" s="31">
        <v>2</v>
      </c>
      <c r="I562" s="31">
        <v>3</v>
      </c>
      <c r="J562" s="32"/>
      <c r="K562" s="31" t="str">
        <f>IF(J562="","",IFERROR(INDEX('Team Rosters'!$C$6:$C$205,MATCH(J562,'Team Rosters'!$B$6:$B$205,0)),"CODE NOT FOUND"))</f>
        <v/>
      </c>
      <c r="L562" s="31" t="str">
        <f t="shared" si="24"/>
        <v/>
      </c>
      <c r="M562" s="31" t="str">
        <f>IF(OR(J562="",C562&lt;&gt;"League",L562&lt;&gt;"VALID"),"",COUNTIFS($J$6:J562,J562,$G$6:G562,G562,$C$6:C562,"League"))</f>
        <v/>
      </c>
      <c r="N562" s="31" t="str">
        <f t="shared" si="25"/>
        <v/>
      </c>
      <c r="O562" s="37" t="str">
        <f t="shared" si="26"/>
        <v/>
      </c>
    </row>
    <row r="563" spans="1:15" ht="15">
      <c r="A563" s="30">
        <v>117</v>
      </c>
      <c r="B563" s="31" t="s">
        <v>501</v>
      </c>
      <c r="C563" s="31" t="s">
        <v>473</v>
      </c>
      <c r="D563" s="31" t="s">
        <v>486</v>
      </c>
      <c r="E563" s="31" t="s">
        <v>475</v>
      </c>
      <c r="F563" s="31" t="str">
        <f>IF(H563=1,INDEX('Match Results'!$G$6:$G$185,MATCH(A563,'Match Results'!$A$6:$A$185,0)),INDEX('Match Results'!$H$6:$H$185,MATCH(A563,'Match Results'!$A$6:$A$185,0)))</f>
        <v>A2</v>
      </c>
      <c r="G563" s="31" t="str">
        <f>IF(H563=1,INDEX('Match Results'!$H$6:$H$185,MATCH(A563,'Match Results'!$A$6:$A$185,0)),INDEX('Match Results'!$G$6:$G$185,MATCH(A563,'Match Results'!$A$6:$A$185,0)))</f>
        <v>A1</v>
      </c>
      <c r="H563" s="31">
        <v>2</v>
      </c>
      <c r="I563" s="31">
        <v>4</v>
      </c>
      <c r="J563" s="32"/>
      <c r="K563" s="31" t="str">
        <f>IF(J563="","",IFERROR(INDEX('Team Rosters'!$C$6:$C$205,MATCH(J563,'Team Rosters'!$B$6:$B$205,0)),"CODE NOT FOUND"))</f>
        <v/>
      </c>
      <c r="L563" s="31" t="str">
        <f t="shared" si="24"/>
        <v/>
      </c>
      <c r="M563" s="31" t="str">
        <f>IF(OR(J563="",C563&lt;&gt;"League",L563&lt;&gt;"VALID"),"",COUNTIFS($J$6:J563,J563,$G$6:G563,G563,$C$6:C563,"League"))</f>
        <v/>
      </c>
      <c r="N563" s="31" t="str">
        <f t="shared" si="25"/>
        <v/>
      </c>
      <c r="O563" s="37" t="str">
        <f t="shared" si="26"/>
        <v/>
      </c>
    </row>
    <row r="564" spans="1:15" ht="15">
      <c r="A564" s="30">
        <v>118</v>
      </c>
      <c r="B564" s="31" t="s">
        <v>501</v>
      </c>
      <c r="C564" s="31" t="s">
        <v>473</v>
      </c>
      <c r="D564" s="31" t="s">
        <v>486</v>
      </c>
      <c r="E564" s="31" t="s">
        <v>477</v>
      </c>
      <c r="F564" s="31" t="str">
        <f>IF(H564=1,INDEX('Match Results'!$G$6:$G$185,MATCH(A564,'Match Results'!$A$6:$A$185,0)),INDEX('Match Results'!$H$6:$H$185,MATCH(A564,'Match Results'!$A$6:$A$185,0)))</f>
        <v>A3</v>
      </c>
      <c r="G564" s="31" t="str">
        <f>IF(H564=1,INDEX('Match Results'!$H$6:$H$185,MATCH(A564,'Match Results'!$A$6:$A$185,0)),INDEX('Match Results'!$G$6:$G$185,MATCH(A564,'Match Results'!$A$6:$A$185,0)))</f>
        <v>A4</v>
      </c>
      <c r="H564" s="31">
        <v>1</v>
      </c>
      <c r="I564" s="31">
        <v>1</v>
      </c>
      <c r="J564" s="32"/>
      <c r="K564" s="31" t="str">
        <f>IF(J564="","",IFERROR(INDEX('Team Rosters'!$C$6:$C$205,MATCH(J564,'Team Rosters'!$B$6:$B$205,0)),"CODE NOT FOUND"))</f>
        <v/>
      </c>
      <c r="L564" s="31" t="str">
        <f>IF(J564="","",IF(AND(K564&lt;&gt;"",K564&lt;&gt;"CODE NOT FOUND",LEFT(J564,2)=F564),"VALID","CHECK ROSTER"))</f>
        <v/>
      </c>
      <c r="M564" s="31" t="str">
        <f>IF(OR(J564="",C564&lt;&gt;"League",L564&lt;&gt;"VALID"),"",COUNTIFS($J$6:J564,J564,$G$6:G564,G564,$C$6:C564,"League"))</f>
        <v/>
      </c>
      <c r="N564" s="31" t="str">
        <f>IF(J564="","",IF(L564&lt;&gt;"VALID","CHECK ROSTER",IF(C564&lt;&gt;"League","NOT APPLICABLE",IF(M564&lt;=2,"OK","VIOLATION"))))</f>
        <v/>
      </c>
      <c r="O564" s="37" t="str">
        <f>IF(N564="VIOLATION",K564&amp;" has played "&amp;M564&amp;" league matches against "&amp;G564&amp;"; limit is 2.","")</f>
        <v/>
      </c>
    </row>
    <row r="565" spans="1:15" ht="15">
      <c r="A565" s="30">
        <v>118</v>
      </c>
      <c r="B565" s="31" t="s">
        <v>501</v>
      </c>
      <c r="C565" s="31" t="s">
        <v>473</v>
      </c>
      <c r="D565" s="31" t="s">
        <v>486</v>
      </c>
      <c r="E565" s="31" t="s">
        <v>477</v>
      </c>
      <c r="F565" s="31" t="str">
        <f>IF(H565=1,INDEX('Match Results'!$G$6:$G$185,MATCH(A565,'Match Results'!$A$6:$A$185,0)),INDEX('Match Results'!$H$6:$H$185,MATCH(A565,'Match Results'!$A$6:$A$185,0)))</f>
        <v>A3</v>
      </c>
      <c r="G565" s="31" t="str">
        <f>IF(H565=1,INDEX('Match Results'!$H$6:$H$185,MATCH(A565,'Match Results'!$A$6:$A$185,0)),INDEX('Match Results'!$G$6:$G$185,MATCH(A565,'Match Results'!$A$6:$A$185,0)))</f>
        <v>A4</v>
      </c>
      <c r="H565" s="31">
        <v>1</v>
      </c>
      <c r="I565" s="31">
        <v>2</v>
      </c>
      <c r="J565" s="32"/>
      <c r="K565" s="31" t="str">
        <f>IF(J565="","",IFERROR(INDEX('Team Rosters'!$C$6:$C$205,MATCH(J565,'Team Rosters'!$B$6:$B$205,0)),"CODE NOT FOUND"))</f>
        <v/>
      </c>
      <c r="L565" s="31" t="str">
        <f t="shared" si="24"/>
        <v/>
      </c>
      <c r="M565" s="31" t="str">
        <f>IF(OR(J565="",C565&lt;&gt;"League",L565&lt;&gt;"VALID"),"",COUNTIFS($J$6:J565,J565,$G$6:G565,G565,$C$6:C565,"League"))</f>
        <v/>
      </c>
      <c r="N565" s="31" t="str">
        <f t="shared" si="25"/>
        <v/>
      </c>
      <c r="O565" s="37" t="str">
        <f t="shared" si="26"/>
        <v/>
      </c>
    </row>
    <row r="566" spans="1:15" ht="15">
      <c r="A566" s="30">
        <v>118</v>
      </c>
      <c r="B566" s="31" t="s">
        <v>501</v>
      </c>
      <c r="C566" s="31" t="s">
        <v>473</v>
      </c>
      <c r="D566" s="31" t="s">
        <v>486</v>
      </c>
      <c r="E566" s="31" t="s">
        <v>477</v>
      </c>
      <c r="F566" s="31" t="str">
        <f>IF(H566=1,INDEX('Match Results'!$G$6:$G$185,MATCH(A566,'Match Results'!$A$6:$A$185,0)),INDEX('Match Results'!$H$6:$H$185,MATCH(A566,'Match Results'!$A$6:$A$185,0)))</f>
        <v>A4</v>
      </c>
      <c r="G566" s="31" t="str">
        <f>IF(H566=1,INDEX('Match Results'!$H$6:$H$185,MATCH(A566,'Match Results'!$A$6:$A$185,0)),INDEX('Match Results'!$G$6:$G$185,MATCH(A566,'Match Results'!$A$6:$A$185,0)))</f>
        <v>A3</v>
      </c>
      <c r="H566" s="31">
        <v>2</v>
      </c>
      <c r="I566" s="31">
        <v>3</v>
      </c>
      <c r="J566" s="32"/>
      <c r="K566" s="31" t="str">
        <f>IF(J566="","",IFERROR(INDEX('Team Rosters'!$C$6:$C$205,MATCH(J566,'Team Rosters'!$B$6:$B$205,0)),"CODE NOT FOUND"))</f>
        <v/>
      </c>
      <c r="L566" s="31" t="str">
        <f t="shared" si="24"/>
        <v/>
      </c>
      <c r="M566" s="31" t="str">
        <f>IF(OR(J566="",C566&lt;&gt;"League",L566&lt;&gt;"VALID"),"",COUNTIFS($J$6:J566,J566,$G$6:G566,G566,$C$6:C566,"League"))</f>
        <v/>
      </c>
      <c r="N566" s="31" t="str">
        <f t="shared" si="25"/>
        <v/>
      </c>
      <c r="O566" s="37" t="str">
        <f t="shared" si="26"/>
        <v/>
      </c>
    </row>
    <row r="567" spans="1:15" ht="15">
      <c r="A567" s="30">
        <v>118</v>
      </c>
      <c r="B567" s="31" t="s">
        <v>501</v>
      </c>
      <c r="C567" s="31" t="s">
        <v>473</v>
      </c>
      <c r="D567" s="31" t="s">
        <v>486</v>
      </c>
      <c r="E567" s="31" t="s">
        <v>477</v>
      </c>
      <c r="F567" s="31" t="str">
        <f>IF(H567=1,INDEX('Match Results'!$G$6:$G$185,MATCH(A567,'Match Results'!$A$6:$A$185,0)),INDEX('Match Results'!$H$6:$H$185,MATCH(A567,'Match Results'!$A$6:$A$185,0)))</f>
        <v>A4</v>
      </c>
      <c r="G567" s="31" t="str">
        <f>IF(H567=1,INDEX('Match Results'!$H$6:$H$185,MATCH(A567,'Match Results'!$A$6:$A$185,0)),INDEX('Match Results'!$G$6:$G$185,MATCH(A567,'Match Results'!$A$6:$A$185,0)))</f>
        <v>A3</v>
      </c>
      <c r="H567" s="31">
        <v>2</v>
      </c>
      <c r="I567" s="31">
        <v>4</v>
      </c>
      <c r="J567" s="32"/>
      <c r="K567" s="31" t="str">
        <f>IF(J567="","",IFERROR(INDEX('Team Rosters'!$C$6:$C$205,MATCH(J567,'Team Rosters'!$B$6:$B$205,0)),"CODE NOT FOUND"))</f>
        <v/>
      </c>
      <c r="L567" s="31" t="str">
        <f t="shared" si="24"/>
        <v/>
      </c>
      <c r="M567" s="31" t="str">
        <f>IF(OR(J567="",C567&lt;&gt;"League",L567&lt;&gt;"VALID"),"",COUNTIFS($J$6:J567,J567,$G$6:G567,G567,$C$6:C567,"League"))</f>
        <v/>
      </c>
      <c r="N567" s="31" t="str">
        <f t="shared" si="25"/>
        <v/>
      </c>
      <c r="O567" s="37" t="str">
        <f t="shared" si="26"/>
        <v/>
      </c>
    </row>
    <row r="568" spans="1:15" ht="15">
      <c r="A568" s="30">
        <v>119</v>
      </c>
      <c r="B568" s="31" t="s">
        <v>501</v>
      </c>
      <c r="C568" s="31" t="s">
        <v>473</v>
      </c>
      <c r="D568" s="31" t="s">
        <v>486</v>
      </c>
      <c r="E568" s="31" t="s">
        <v>472</v>
      </c>
      <c r="F568" s="31" t="str">
        <f>IF(H568=1,INDEX('Match Results'!$G$6:$G$185,MATCH(A568,'Match Results'!$A$6:$A$185,0)),INDEX('Match Results'!$H$6:$H$185,MATCH(A568,'Match Results'!$A$6:$A$185,0)))</f>
        <v>B1</v>
      </c>
      <c r="G568" s="31" t="str">
        <f>IF(H568=1,INDEX('Match Results'!$H$6:$H$185,MATCH(A568,'Match Results'!$A$6:$A$185,0)),INDEX('Match Results'!$G$6:$G$185,MATCH(A568,'Match Results'!$A$6:$A$185,0)))</f>
        <v>B3</v>
      </c>
      <c r="H568" s="31">
        <v>1</v>
      </c>
      <c r="I568" s="31">
        <v>1</v>
      </c>
      <c r="J568" s="32"/>
      <c r="K568" s="31" t="str">
        <f>IF(J568="","",IFERROR(INDEX('Team Rosters'!$C$6:$C$205,MATCH(J568,'Team Rosters'!$B$6:$B$205,0)),"CODE NOT FOUND"))</f>
        <v/>
      </c>
      <c r="L568" s="31" t="str">
        <f t="shared" si="24"/>
        <v/>
      </c>
      <c r="M568" s="31" t="str">
        <f>IF(OR(J568="",C568&lt;&gt;"League",L568&lt;&gt;"VALID"),"",COUNTIFS($J$6:J568,J568,$G$6:G568,G568,$C$6:C568,"League"))</f>
        <v/>
      </c>
      <c r="N568" s="31" t="str">
        <f t="shared" si="25"/>
        <v/>
      </c>
      <c r="O568" s="37" t="str">
        <f t="shared" si="26"/>
        <v/>
      </c>
    </row>
    <row r="569" spans="1:15" ht="15">
      <c r="A569" s="30">
        <v>119</v>
      </c>
      <c r="B569" s="31" t="s">
        <v>501</v>
      </c>
      <c r="C569" s="31" t="s">
        <v>473</v>
      </c>
      <c r="D569" s="31" t="s">
        <v>486</v>
      </c>
      <c r="E569" s="31" t="s">
        <v>472</v>
      </c>
      <c r="F569" s="31" t="str">
        <f>IF(H569=1,INDEX('Match Results'!$G$6:$G$185,MATCH(A569,'Match Results'!$A$6:$A$185,0)),INDEX('Match Results'!$H$6:$H$185,MATCH(A569,'Match Results'!$A$6:$A$185,0)))</f>
        <v>B1</v>
      </c>
      <c r="G569" s="31" t="str">
        <f>IF(H569=1,INDEX('Match Results'!$H$6:$H$185,MATCH(A569,'Match Results'!$A$6:$A$185,0)),INDEX('Match Results'!$G$6:$G$185,MATCH(A569,'Match Results'!$A$6:$A$185,0)))</f>
        <v>B3</v>
      </c>
      <c r="H569" s="31">
        <v>1</v>
      </c>
      <c r="I569" s="31">
        <v>2</v>
      </c>
      <c r="J569" s="32"/>
      <c r="K569" s="31" t="str">
        <f>IF(J569="","",IFERROR(INDEX('Team Rosters'!$C$6:$C$205,MATCH(J569,'Team Rosters'!$B$6:$B$205,0)),"CODE NOT FOUND"))</f>
        <v/>
      </c>
      <c r="L569" s="31" t="str">
        <f t="shared" si="24"/>
        <v/>
      </c>
      <c r="M569" s="31" t="str">
        <f>IF(OR(J569="",C569&lt;&gt;"League",L569&lt;&gt;"VALID"),"",COUNTIFS($J$6:J569,J569,$G$6:G569,G569,$C$6:C569,"League"))</f>
        <v/>
      </c>
      <c r="N569" s="31" t="str">
        <f t="shared" si="25"/>
        <v/>
      </c>
      <c r="O569" s="37" t="str">
        <f t="shared" si="26"/>
        <v/>
      </c>
    </row>
    <row r="570" spans="1:15" ht="15">
      <c r="A570" s="30">
        <v>119</v>
      </c>
      <c r="B570" s="31" t="s">
        <v>501</v>
      </c>
      <c r="C570" s="31" t="s">
        <v>473</v>
      </c>
      <c r="D570" s="31" t="s">
        <v>486</v>
      </c>
      <c r="E570" s="31" t="s">
        <v>472</v>
      </c>
      <c r="F570" s="31" t="str">
        <f>IF(H570=1,INDEX('Match Results'!$G$6:$G$185,MATCH(A570,'Match Results'!$A$6:$A$185,0)),INDEX('Match Results'!$H$6:$H$185,MATCH(A570,'Match Results'!$A$6:$A$185,0)))</f>
        <v>B3</v>
      </c>
      <c r="G570" s="31" t="str">
        <f>IF(H570=1,INDEX('Match Results'!$H$6:$H$185,MATCH(A570,'Match Results'!$A$6:$A$185,0)),INDEX('Match Results'!$G$6:$G$185,MATCH(A570,'Match Results'!$A$6:$A$185,0)))</f>
        <v>B1</v>
      </c>
      <c r="H570" s="31">
        <v>2</v>
      </c>
      <c r="I570" s="31">
        <v>3</v>
      </c>
      <c r="J570" s="32"/>
      <c r="K570" s="31" t="str">
        <f>IF(J570="","",IFERROR(INDEX('Team Rosters'!$C$6:$C$205,MATCH(J570,'Team Rosters'!$B$6:$B$205,0)),"CODE NOT FOUND"))</f>
        <v/>
      </c>
      <c r="L570" s="31" t="str">
        <f t="shared" si="24"/>
        <v/>
      </c>
      <c r="M570" s="31" t="str">
        <f>IF(OR(J570="",C570&lt;&gt;"League",L570&lt;&gt;"VALID"),"",COUNTIFS($J$6:J570,J570,$G$6:G570,G570,$C$6:C570,"League"))</f>
        <v/>
      </c>
      <c r="N570" s="31" t="str">
        <f t="shared" si="25"/>
        <v/>
      </c>
      <c r="O570" s="37" t="str">
        <f t="shared" si="26"/>
        <v/>
      </c>
    </row>
    <row r="571" spans="1:15" ht="15">
      <c r="A571" s="30">
        <v>119</v>
      </c>
      <c r="B571" s="31" t="s">
        <v>501</v>
      </c>
      <c r="C571" s="31" t="s">
        <v>473</v>
      </c>
      <c r="D571" s="31" t="s">
        <v>486</v>
      </c>
      <c r="E571" s="31" t="s">
        <v>472</v>
      </c>
      <c r="F571" s="31" t="str">
        <f>IF(H571=1,INDEX('Match Results'!$G$6:$G$185,MATCH(A571,'Match Results'!$A$6:$A$185,0)),INDEX('Match Results'!$H$6:$H$185,MATCH(A571,'Match Results'!$A$6:$A$185,0)))</f>
        <v>B3</v>
      </c>
      <c r="G571" s="31" t="str">
        <f>IF(H571=1,INDEX('Match Results'!$H$6:$H$185,MATCH(A571,'Match Results'!$A$6:$A$185,0)),INDEX('Match Results'!$G$6:$G$185,MATCH(A571,'Match Results'!$A$6:$A$185,0)))</f>
        <v>B1</v>
      </c>
      <c r="H571" s="31">
        <v>2</v>
      </c>
      <c r="I571" s="31">
        <v>4</v>
      </c>
      <c r="J571" s="32"/>
      <c r="K571" s="31" t="str">
        <f>IF(J571="","",IFERROR(INDEX('Team Rosters'!$C$6:$C$205,MATCH(J571,'Team Rosters'!$B$6:$B$205,0)),"CODE NOT FOUND"))</f>
        <v/>
      </c>
      <c r="L571" s="31" t="str">
        <f t="shared" si="24"/>
        <v/>
      </c>
      <c r="M571" s="31" t="str">
        <f>IF(OR(J571="",C571&lt;&gt;"League",L571&lt;&gt;"VALID"),"",COUNTIFS($J$6:J571,J571,$G$6:G571,G571,$C$6:C571,"League"))</f>
        <v/>
      </c>
      <c r="N571" s="31" t="str">
        <f t="shared" si="25"/>
        <v/>
      </c>
      <c r="O571" s="37" t="str">
        <f t="shared" si="26"/>
        <v/>
      </c>
    </row>
    <row r="572" spans="1:15" ht="15">
      <c r="A572" s="30">
        <v>120</v>
      </c>
      <c r="B572" s="31" t="s">
        <v>501</v>
      </c>
      <c r="C572" s="31" t="s">
        <v>473</v>
      </c>
      <c r="D572" s="31" t="s">
        <v>490</v>
      </c>
      <c r="E572" s="31" t="s">
        <v>491</v>
      </c>
      <c r="F572" s="31" t="str">
        <f>IF(H572=1,INDEX('Match Results'!$G$6:$G$185,MATCH(A572,'Match Results'!$A$6:$A$185,0)),INDEX('Match Results'!$H$6:$H$185,MATCH(A572,'Match Results'!$A$6:$A$185,0)))</f>
        <v>B1</v>
      </c>
      <c r="G572" s="31" t="str">
        <f>IF(H572=1,INDEX('Match Results'!$H$6:$H$185,MATCH(A572,'Match Results'!$A$6:$A$185,0)),INDEX('Match Results'!$G$6:$G$185,MATCH(A572,'Match Results'!$A$6:$A$185,0)))</f>
        <v>B4</v>
      </c>
      <c r="H572" s="31">
        <v>1</v>
      </c>
      <c r="I572" s="31">
        <v>1</v>
      </c>
      <c r="J572" s="32"/>
      <c r="K572" s="31" t="str">
        <f>IF(J572="","",IFERROR(INDEX('Team Rosters'!$C$6:$C$205,MATCH(J572,'Team Rosters'!$B$6:$B$205,0)),"CODE NOT FOUND"))</f>
        <v/>
      </c>
      <c r="L572" s="31" t="str">
        <f t="shared" si="24"/>
        <v/>
      </c>
      <c r="M572" s="31" t="str">
        <f>IF(OR(J572="",C572&lt;&gt;"League",L572&lt;&gt;"VALID"),"",COUNTIFS($J$6:J572,J572,$G$6:G572,G572,$C$6:C572,"League"))</f>
        <v/>
      </c>
      <c r="N572" s="31" t="str">
        <f t="shared" si="25"/>
        <v/>
      </c>
      <c r="O572" s="37" t="str">
        <f t="shared" si="26"/>
        <v/>
      </c>
    </row>
    <row r="573" spans="1:15" ht="15">
      <c r="A573" s="30">
        <v>120</v>
      </c>
      <c r="B573" s="31" t="s">
        <v>501</v>
      </c>
      <c r="C573" s="31" t="s">
        <v>473</v>
      </c>
      <c r="D573" s="31" t="s">
        <v>490</v>
      </c>
      <c r="E573" s="31" t="s">
        <v>491</v>
      </c>
      <c r="F573" s="31" t="str">
        <f>IF(H573=1,INDEX('Match Results'!$G$6:$G$185,MATCH(A573,'Match Results'!$A$6:$A$185,0)),INDEX('Match Results'!$H$6:$H$185,MATCH(A573,'Match Results'!$A$6:$A$185,0)))</f>
        <v>B1</v>
      </c>
      <c r="G573" s="31" t="str">
        <f>IF(H573=1,INDEX('Match Results'!$H$6:$H$185,MATCH(A573,'Match Results'!$A$6:$A$185,0)),INDEX('Match Results'!$G$6:$G$185,MATCH(A573,'Match Results'!$A$6:$A$185,0)))</f>
        <v>B4</v>
      </c>
      <c r="H573" s="31">
        <v>1</v>
      </c>
      <c r="I573" s="31">
        <v>2</v>
      </c>
      <c r="J573" s="32"/>
      <c r="K573" s="31" t="str">
        <f>IF(J573="","",IFERROR(INDEX('Team Rosters'!$C$6:$C$205,MATCH(J573,'Team Rosters'!$B$6:$B$205,0)),"CODE NOT FOUND"))</f>
        <v/>
      </c>
      <c r="L573" s="31" t="str">
        <f t="shared" si="24"/>
        <v/>
      </c>
      <c r="M573" s="31" t="str">
        <f>IF(OR(J573="",C573&lt;&gt;"League",L573&lt;&gt;"VALID"),"",COUNTIFS($J$6:J573,J573,$G$6:G573,G573,$C$6:C573,"League"))</f>
        <v/>
      </c>
      <c r="N573" s="31" t="str">
        <f t="shared" si="25"/>
        <v/>
      </c>
      <c r="O573" s="37" t="str">
        <f t="shared" si="26"/>
        <v/>
      </c>
    </row>
    <row r="574" spans="1:15" ht="15">
      <c r="A574" s="30">
        <v>120</v>
      </c>
      <c r="B574" s="31" t="s">
        <v>501</v>
      </c>
      <c r="C574" s="31" t="s">
        <v>473</v>
      </c>
      <c r="D574" s="31" t="s">
        <v>490</v>
      </c>
      <c r="E574" s="31" t="s">
        <v>491</v>
      </c>
      <c r="F574" s="31" t="str">
        <f>IF(H574=1,INDEX('Match Results'!$G$6:$G$185,MATCH(A574,'Match Results'!$A$6:$A$185,0)),INDEX('Match Results'!$H$6:$H$185,MATCH(A574,'Match Results'!$A$6:$A$185,0)))</f>
        <v>B1</v>
      </c>
      <c r="G574" s="31" t="str">
        <f>IF(H574=1,INDEX('Match Results'!$H$6:$H$185,MATCH(A574,'Match Results'!$A$6:$A$185,0)),INDEX('Match Results'!$G$6:$G$185,MATCH(A574,'Match Results'!$A$6:$A$185,0)))</f>
        <v>B4</v>
      </c>
      <c r="H574" s="31">
        <v>1</v>
      </c>
      <c r="I574" s="31">
        <v>3</v>
      </c>
      <c r="J574" s="32"/>
      <c r="K574" s="31" t="str">
        <f>IF(J574="","",IFERROR(INDEX('Team Rosters'!$C$6:$C$205,MATCH(J574,'Team Rosters'!$B$6:$B$205,0)),"CODE NOT FOUND"))</f>
        <v/>
      </c>
      <c r="L574" s="31" t="str">
        <f t="shared" si="24"/>
        <v/>
      </c>
      <c r="M574" s="31" t="str">
        <f>IF(OR(J574="",C574&lt;&gt;"League",L574&lt;&gt;"VALID"),"",COUNTIFS($J$6:J574,J574,$G$6:G574,G574,$C$6:C574,"League"))</f>
        <v/>
      </c>
      <c r="N574" s="31" t="str">
        <f t="shared" si="25"/>
        <v/>
      </c>
      <c r="O574" s="37" t="str">
        <f t="shared" si="26"/>
        <v/>
      </c>
    </row>
    <row r="575" spans="1:15" ht="15">
      <c r="A575" s="30">
        <v>120</v>
      </c>
      <c r="B575" s="31" t="s">
        <v>501</v>
      </c>
      <c r="C575" s="31" t="s">
        <v>473</v>
      </c>
      <c r="D575" s="31" t="s">
        <v>490</v>
      </c>
      <c r="E575" s="31" t="s">
        <v>491</v>
      </c>
      <c r="F575" s="31" t="str">
        <f>IF(H575=1,INDEX('Match Results'!$G$6:$G$185,MATCH(A575,'Match Results'!$A$6:$A$185,0)),INDEX('Match Results'!$H$6:$H$185,MATCH(A575,'Match Results'!$A$6:$A$185,0)))</f>
        <v>B1</v>
      </c>
      <c r="G575" s="31" t="str">
        <f>IF(H575=1,INDEX('Match Results'!$H$6:$H$185,MATCH(A575,'Match Results'!$A$6:$A$185,0)),INDEX('Match Results'!$G$6:$G$185,MATCH(A575,'Match Results'!$A$6:$A$185,0)))</f>
        <v>B4</v>
      </c>
      <c r="H575" s="31">
        <v>1</v>
      </c>
      <c r="I575" s="31">
        <v>4</v>
      </c>
      <c r="J575" s="32"/>
      <c r="K575" s="31" t="str">
        <f>IF(J575="","",IFERROR(INDEX('Team Rosters'!$C$6:$C$205,MATCH(J575,'Team Rosters'!$B$6:$B$205,0)),"CODE NOT FOUND"))</f>
        <v/>
      </c>
      <c r="L575" s="31" t="str">
        <f t="shared" si="24"/>
        <v/>
      </c>
      <c r="M575" s="31" t="str">
        <f>IF(OR(J575="",C575&lt;&gt;"League",L575&lt;&gt;"VALID"),"",COUNTIFS($J$6:J575,J575,$G$6:G575,G575,$C$6:C575,"League"))</f>
        <v/>
      </c>
      <c r="N575" s="31" t="str">
        <f t="shared" si="25"/>
        <v/>
      </c>
      <c r="O575" s="37" t="str">
        <f t="shared" si="26"/>
        <v/>
      </c>
    </row>
    <row r="576" spans="1:15" ht="15">
      <c r="A576" s="30">
        <v>120</v>
      </c>
      <c r="B576" s="31" t="s">
        <v>501</v>
      </c>
      <c r="C576" s="31" t="s">
        <v>473</v>
      </c>
      <c r="D576" s="31" t="s">
        <v>490</v>
      </c>
      <c r="E576" s="31" t="s">
        <v>491</v>
      </c>
      <c r="F576" s="31" t="str">
        <f>IF(H576=1,INDEX('Match Results'!$G$6:$G$185,MATCH(A576,'Match Results'!$A$6:$A$185,0)),INDEX('Match Results'!$H$6:$H$185,MATCH(A576,'Match Results'!$A$6:$A$185,0)))</f>
        <v>B1</v>
      </c>
      <c r="G576" s="31" t="str">
        <f>IF(H576=1,INDEX('Match Results'!$H$6:$H$185,MATCH(A576,'Match Results'!$A$6:$A$185,0)),INDEX('Match Results'!$G$6:$G$185,MATCH(A576,'Match Results'!$A$6:$A$185,0)))</f>
        <v>B4</v>
      </c>
      <c r="H576" s="31">
        <v>1</v>
      </c>
      <c r="I576" s="31">
        <v>5</v>
      </c>
      <c r="J576" s="32"/>
      <c r="K576" s="31" t="str">
        <f>IF(J576="","",IFERROR(INDEX('Team Rosters'!$C$6:$C$205,MATCH(J576,'Team Rosters'!$B$6:$B$205,0)),"CODE NOT FOUND"))</f>
        <v/>
      </c>
      <c r="L576" s="31" t="str">
        <f t="shared" si="24"/>
        <v/>
      </c>
      <c r="M576" s="31" t="str">
        <f>IF(OR(J576="",C576&lt;&gt;"League",L576&lt;&gt;"VALID"),"",COUNTIFS($J$6:J576,J576,$G$6:G576,G576,$C$6:C576,"League"))</f>
        <v/>
      </c>
      <c r="N576" s="31" t="str">
        <f t="shared" si="25"/>
        <v/>
      </c>
      <c r="O576" s="37" t="str">
        <f t="shared" si="26"/>
        <v/>
      </c>
    </row>
    <row r="577" spans="1:15" ht="15">
      <c r="A577" s="30">
        <v>120</v>
      </c>
      <c r="B577" s="31" t="s">
        <v>501</v>
      </c>
      <c r="C577" s="31" t="s">
        <v>473</v>
      </c>
      <c r="D577" s="31" t="s">
        <v>490</v>
      </c>
      <c r="E577" s="31" t="s">
        <v>491</v>
      </c>
      <c r="F577" s="31" t="str">
        <f>IF(H577=1,INDEX('Match Results'!$G$6:$G$185,MATCH(A577,'Match Results'!$A$6:$A$185,0)),INDEX('Match Results'!$H$6:$H$185,MATCH(A577,'Match Results'!$A$6:$A$185,0)))</f>
        <v>B1</v>
      </c>
      <c r="G577" s="31" t="str">
        <f>IF(H577=1,INDEX('Match Results'!$H$6:$H$185,MATCH(A577,'Match Results'!$A$6:$A$185,0)),INDEX('Match Results'!$G$6:$G$185,MATCH(A577,'Match Results'!$A$6:$A$185,0)))</f>
        <v>B4</v>
      </c>
      <c r="H577" s="31">
        <v>1</v>
      </c>
      <c r="I577" s="31">
        <v>6</v>
      </c>
      <c r="J577" s="32"/>
      <c r="K577" s="31" t="str">
        <f>IF(J577="","",IFERROR(INDEX('Team Rosters'!$C$6:$C$205,MATCH(J577,'Team Rosters'!$B$6:$B$205,0)),"CODE NOT FOUND"))</f>
        <v/>
      </c>
      <c r="L577" s="31" t="str">
        <f t="shared" si="24"/>
        <v/>
      </c>
      <c r="M577" s="31" t="str">
        <f>IF(OR(J577="",C577&lt;&gt;"League",L577&lt;&gt;"VALID"),"",COUNTIFS($J$6:J577,J577,$G$6:G577,G577,$C$6:C577,"League"))</f>
        <v/>
      </c>
      <c r="N577" s="31" t="str">
        <f t="shared" si="25"/>
        <v/>
      </c>
      <c r="O577" s="37" t="str">
        <f t="shared" si="26"/>
        <v/>
      </c>
    </row>
    <row r="578" spans="1:15" ht="15">
      <c r="A578" s="30">
        <v>120</v>
      </c>
      <c r="B578" s="31" t="s">
        <v>501</v>
      </c>
      <c r="C578" s="31" t="s">
        <v>473</v>
      </c>
      <c r="D578" s="31" t="s">
        <v>490</v>
      </c>
      <c r="E578" s="31" t="s">
        <v>491</v>
      </c>
      <c r="F578" s="31" t="str">
        <f>IF(H578=1,INDEX('Match Results'!$G$6:$G$185,MATCH(A578,'Match Results'!$A$6:$A$185,0)),INDEX('Match Results'!$H$6:$H$185,MATCH(A578,'Match Results'!$A$6:$A$185,0)))</f>
        <v>B1</v>
      </c>
      <c r="G578" s="31" t="str">
        <f>IF(H578=1,INDEX('Match Results'!$H$6:$H$185,MATCH(A578,'Match Results'!$A$6:$A$185,0)),INDEX('Match Results'!$G$6:$G$185,MATCH(A578,'Match Results'!$A$6:$A$185,0)))</f>
        <v>B4</v>
      </c>
      <c r="H578" s="31">
        <v>1</v>
      </c>
      <c r="I578" s="31">
        <v>7</v>
      </c>
      <c r="J578" s="32"/>
      <c r="K578" s="31" t="str">
        <f>IF(J578="","",IFERROR(INDEX('Team Rosters'!$C$6:$C$205,MATCH(J578,'Team Rosters'!$B$6:$B$205,0)),"CODE NOT FOUND"))</f>
        <v/>
      </c>
      <c r="L578" s="31" t="str">
        <f t="shared" si="24"/>
        <v/>
      </c>
      <c r="M578" s="31" t="str">
        <f>IF(OR(J578="",C578&lt;&gt;"League",L578&lt;&gt;"VALID"),"",COUNTIFS($J$6:J578,J578,$G$6:G578,G578,$C$6:C578,"League"))</f>
        <v/>
      </c>
      <c r="N578" s="31" t="str">
        <f t="shared" si="25"/>
        <v/>
      </c>
      <c r="O578" s="37" t="str">
        <f t="shared" si="26"/>
        <v/>
      </c>
    </row>
    <row r="579" spans="1:15" ht="15">
      <c r="A579" s="30">
        <v>120</v>
      </c>
      <c r="B579" s="31" t="s">
        <v>501</v>
      </c>
      <c r="C579" s="31" t="s">
        <v>473</v>
      </c>
      <c r="D579" s="31" t="s">
        <v>490</v>
      </c>
      <c r="E579" s="31" t="s">
        <v>491</v>
      </c>
      <c r="F579" s="31" t="str">
        <f>IF(H579=1,INDEX('Match Results'!$G$6:$G$185,MATCH(A579,'Match Results'!$A$6:$A$185,0)),INDEX('Match Results'!$H$6:$H$185,MATCH(A579,'Match Results'!$A$6:$A$185,0)))</f>
        <v>B4</v>
      </c>
      <c r="G579" s="31" t="str">
        <f>IF(H579=1,INDEX('Match Results'!$H$6:$H$185,MATCH(A579,'Match Results'!$A$6:$A$185,0)),INDEX('Match Results'!$G$6:$G$185,MATCH(A579,'Match Results'!$A$6:$A$185,0)))</f>
        <v>B1</v>
      </c>
      <c r="H579" s="31">
        <v>2</v>
      </c>
      <c r="I579" s="31">
        <v>8</v>
      </c>
      <c r="J579" s="32"/>
      <c r="K579" s="31" t="str">
        <f>IF(J579="","",IFERROR(INDEX('Team Rosters'!$C$6:$C$205,MATCH(J579,'Team Rosters'!$B$6:$B$205,0)),"CODE NOT FOUND"))</f>
        <v/>
      </c>
      <c r="L579" s="31" t="str">
        <f t="shared" si="24"/>
        <v/>
      </c>
      <c r="M579" s="31" t="str">
        <f>IF(OR(J579="",C579&lt;&gt;"League",L579&lt;&gt;"VALID"),"",COUNTIFS($J$6:J579,J579,$G$6:G579,G579,$C$6:C579,"League"))</f>
        <v/>
      </c>
      <c r="N579" s="31" t="str">
        <f t="shared" si="25"/>
        <v/>
      </c>
      <c r="O579" s="37" t="str">
        <f t="shared" si="26"/>
        <v/>
      </c>
    </row>
    <row r="580" spans="1:15" ht="15">
      <c r="A580" s="30">
        <v>120</v>
      </c>
      <c r="B580" s="31" t="s">
        <v>501</v>
      </c>
      <c r="C580" s="31" t="s">
        <v>473</v>
      </c>
      <c r="D580" s="31" t="s">
        <v>490</v>
      </c>
      <c r="E580" s="31" t="s">
        <v>491</v>
      </c>
      <c r="F580" s="31" t="str">
        <f>IF(H580=1,INDEX('Match Results'!$G$6:$G$185,MATCH(A580,'Match Results'!$A$6:$A$185,0)),INDEX('Match Results'!$H$6:$H$185,MATCH(A580,'Match Results'!$A$6:$A$185,0)))</f>
        <v>B4</v>
      </c>
      <c r="G580" s="31" t="str">
        <f>IF(H580=1,INDEX('Match Results'!$H$6:$H$185,MATCH(A580,'Match Results'!$A$6:$A$185,0)),INDEX('Match Results'!$G$6:$G$185,MATCH(A580,'Match Results'!$A$6:$A$185,0)))</f>
        <v>B1</v>
      </c>
      <c r="H580" s="31">
        <v>2</v>
      </c>
      <c r="I580" s="31">
        <v>9</v>
      </c>
      <c r="J580" s="32"/>
      <c r="K580" s="31" t="str">
        <f>IF(J580="","",IFERROR(INDEX('Team Rosters'!$C$6:$C$205,MATCH(J580,'Team Rosters'!$B$6:$B$205,0)),"CODE NOT FOUND"))</f>
        <v/>
      </c>
      <c r="L580" s="31" t="str">
        <f t="shared" si="24"/>
        <v/>
      </c>
      <c r="M580" s="31" t="str">
        <f>IF(OR(J580="",C580&lt;&gt;"League",L580&lt;&gt;"VALID"),"",COUNTIFS($J$6:J580,J580,$G$6:G580,G580,$C$6:C580,"League"))</f>
        <v/>
      </c>
      <c r="N580" s="31" t="str">
        <f t="shared" si="25"/>
        <v/>
      </c>
      <c r="O580" s="37" t="str">
        <f t="shared" si="26"/>
        <v/>
      </c>
    </row>
    <row r="581" spans="1:15" ht="15">
      <c r="A581" s="30">
        <v>120</v>
      </c>
      <c r="B581" s="31" t="s">
        <v>501</v>
      </c>
      <c r="C581" s="31" t="s">
        <v>473</v>
      </c>
      <c r="D581" s="31" t="s">
        <v>490</v>
      </c>
      <c r="E581" s="31" t="s">
        <v>491</v>
      </c>
      <c r="F581" s="31" t="str">
        <f>IF(H581=1,INDEX('Match Results'!$G$6:$G$185,MATCH(A581,'Match Results'!$A$6:$A$185,0)),INDEX('Match Results'!$H$6:$H$185,MATCH(A581,'Match Results'!$A$6:$A$185,0)))</f>
        <v>B4</v>
      </c>
      <c r="G581" s="31" t="str">
        <f>IF(H581=1,INDEX('Match Results'!$H$6:$H$185,MATCH(A581,'Match Results'!$A$6:$A$185,0)),INDEX('Match Results'!$G$6:$G$185,MATCH(A581,'Match Results'!$A$6:$A$185,0)))</f>
        <v>B1</v>
      </c>
      <c r="H581" s="31">
        <v>2</v>
      </c>
      <c r="I581" s="31">
        <v>10</v>
      </c>
      <c r="J581" s="32"/>
      <c r="K581" s="31" t="str">
        <f>IF(J581="","",IFERROR(INDEX('Team Rosters'!$C$6:$C$205,MATCH(J581,'Team Rosters'!$B$6:$B$205,0)),"CODE NOT FOUND"))</f>
        <v/>
      </c>
      <c r="L581" s="31" t="str">
        <f t="shared" si="24"/>
        <v/>
      </c>
      <c r="M581" s="31" t="str">
        <f>IF(OR(J581="",C581&lt;&gt;"League",L581&lt;&gt;"VALID"),"",COUNTIFS($J$6:J581,J581,$G$6:G581,G581,$C$6:C581,"League"))</f>
        <v/>
      </c>
      <c r="N581" s="31" t="str">
        <f t="shared" si="25"/>
        <v/>
      </c>
      <c r="O581" s="37" t="str">
        <f t="shared" si="26"/>
        <v/>
      </c>
    </row>
    <row r="582" spans="1:15" ht="15">
      <c r="A582" s="30">
        <v>120</v>
      </c>
      <c r="B582" s="31" t="s">
        <v>501</v>
      </c>
      <c r="C582" s="31" t="s">
        <v>473</v>
      </c>
      <c r="D582" s="31" t="s">
        <v>490</v>
      </c>
      <c r="E582" s="31" t="s">
        <v>491</v>
      </c>
      <c r="F582" s="31" t="str">
        <f>IF(H582=1,INDEX('Match Results'!$G$6:$G$185,MATCH(A582,'Match Results'!$A$6:$A$185,0)),INDEX('Match Results'!$H$6:$H$185,MATCH(A582,'Match Results'!$A$6:$A$185,0)))</f>
        <v>B4</v>
      </c>
      <c r="G582" s="31" t="str">
        <f>IF(H582=1,INDEX('Match Results'!$H$6:$H$185,MATCH(A582,'Match Results'!$A$6:$A$185,0)),INDEX('Match Results'!$G$6:$G$185,MATCH(A582,'Match Results'!$A$6:$A$185,0)))</f>
        <v>B1</v>
      </c>
      <c r="H582" s="31">
        <v>2</v>
      </c>
      <c r="I582" s="31">
        <v>11</v>
      </c>
      <c r="J582" s="32"/>
      <c r="K582" s="31" t="str">
        <f>IF(J582="","",IFERROR(INDEX('Team Rosters'!$C$6:$C$205,MATCH(J582,'Team Rosters'!$B$6:$B$205,0)),"CODE NOT FOUND"))</f>
        <v/>
      </c>
      <c r="L582" s="31" t="str">
        <f t="shared" ref="L582:L645" si="27">IF(J582="","",IF(AND(K582&lt;&gt;"",K582&lt;&gt;"CODE NOT FOUND",LEFT(J582,2)=F582),"VALID","CHECK ROSTER"))</f>
        <v/>
      </c>
      <c r="M582" s="31" t="str">
        <f>IF(OR(J582="",C582&lt;&gt;"League",L582&lt;&gt;"VALID"),"",COUNTIFS($J$6:J582,J582,$G$6:G582,G582,$C$6:C582,"League"))</f>
        <v/>
      </c>
      <c r="N582" s="31" t="str">
        <f t="shared" ref="N582:N645" si="28">IF(J582="","",IF(L582&lt;&gt;"VALID","CHECK ROSTER",IF(C582&lt;&gt;"League","NOT APPLICABLE",IF(M582&lt;=2,"OK","VIOLATION"))))</f>
        <v/>
      </c>
      <c r="O582" s="37" t="str">
        <f t="shared" ref="O582:O645" si="29">IF(N582="VIOLATION",K582&amp;" has played "&amp;M582&amp;" league matches against "&amp;G582&amp;"; limit is 2.","")</f>
        <v/>
      </c>
    </row>
    <row r="583" spans="1:15" ht="15">
      <c r="A583" s="30">
        <v>120</v>
      </c>
      <c r="B583" s="31" t="s">
        <v>501</v>
      </c>
      <c r="C583" s="31" t="s">
        <v>473</v>
      </c>
      <c r="D583" s="31" t="s">
        <v>490</v>
      </c>
      <c r="E583" s="31" t="s">
        <v>491</v>
      </c>
      <c r="F583" s="31" t="str">
        <f>IF(H583=1,INDEX('Match Results'!$G$6:$G$185,MATCH(A583,'Match Results'!$A$6:$A$185,0)),INDEX('Match Results'!$H$6:$H$185,MATCH(A583,'Match Results'!$A$6:$A$185,0)))</f>
        <v>B4</v>
      </c>
      <c r="G583" s="31" t="str">
        <f>IF(H583=1,INDEX('Match Results'!$H$6:$H$185,MATCH(A583,'Match Results'!$A$6:$A$185,0)),INDEX('Match Results'!$G$6:$G$185,MATCH(A583,'Match Results'!$A$6:$A$185,0)))</f>
        <v>B1</v>
      </c>
      <c r="H583" s="31">
        <v>2</v>
      </c>
      <c r="I583" s="31">
        <v>12</v>
      </c>
      <c r="J583" s="32"/>
      <c r="K583" s="31" t="str">
        <f>IF(J583="","",IFERROR(INDEX('Team Rosters'!$C$6:$C$205,MATCH(J583,'Team Rosters'!$B$6:$B$205,0)),"CODE NOT FOUND"))</f>
        <v/>
      </c>
      <c r="L583" s="31" t="str">
        <f t="shared" si="27"/>
        <v/>
      </c>
      <c r="M583" s="31" t="str">
        <f>IF(OR(J583="",C583&lt;&gt;"League",L583&lt;&gt;"VALID"),"",COUNTIFS($J$6:J583,J583,$G$6:G583,G583,$C$6:C583,"League"))</f>
        <v/>
      </c>
      <c r="N583" s="31" t="str">
        <f t="shared" si="28"/>
        <v/>
      </c>
      <c r="O583" s="37" t="str">
        <f t="shared" si="29"/>
        <v/>
      </c>
    </row>
    <row r="584" spans="1:15" ht="15">
      <c r="A584" s="30">
        <v>120</v>
      </c>
      <c r="B584" s="31" t="s">
        <v>501</v>
      </c>
      <c r="C584" s="31" t="s">
        <v>473</v>
      </c>
      <c r="D584" s="31" t="s">
        <v>490</v>
      </c>
      <c r="E584" s="31" t="s">
        <v>491</v>
      </c>
      <c r="F584" s="31" t="str">
        <f>IF(H584=1,INDEX('Match Results'!$G$6:$G$185,MATCH(A584,'Match Results'!$A$6:$A$185,0)),INDEX('Match Results'!$H$6:$H$185,MATCH(A584,'Match Results'!$A$6:$A$185,0)))</f>
        <v>B4</v>
      </c>
      <c r="G584" s="31" t="str">
        <f>IF(H584=1,INDEX('Match Results'!$H$6:$H$185,MATCH(A584,'Match Results'!$A$6:$A$185,0)),INDEX('Match Results'!$G$6:$G$185,MATCH(A584,'Match Results'!$A$6:$A$185,0)))</f>
        <v>B1</v>
      </c>
      <c r="H584" s="31">
        <v>2</v>
      </c>
      <c r="I584" s="31">
        <v>13</v>
      </c>
      <c r="J584" s="32"/>
      <c r="K584" s="31" t="str">
        <f>IF(J584="","",IFERROR(INDEX('Team Rosters'!$C$6:$C$205,MATCH(J584,'Team Rosters'!$B$6:$B$205,0)),"CODE NOT FOUND"))</f>
        <v/>
      </c>
      <c r="L584" s="31" t="str">
        <f t="shared" si="27"/>
        <v/>
      </c>
      <c r="M584" s="31" t="str">
        <f>IF(OR(J584="",C584&lt;&gt;"League",L584&lt;&gt;"VALID"),"",COUNTIFS($J$6:J584,J584,$G$6:G584,G584,$C$6:C584,"League"))</f>
        <v/>
      </c>
      <c r="N584" s="31" t="str">
        <f t="shared" si="28"/>
        <v/>
      </c>
      <c r="O584" s="37" t="str">
        <f t="shared" si="29"/>
        <v/>
      </c>
    </row>
    <row r="585" spans="1:15" ht="15">
      <c r="A585" s="30">
        <v>120</v>
      </c>
      <c r="B585" s="31" t="s">
        <v>501</v>
      </c>
      <c r="C585" s="31" t="s">
        <v>473</v>
      </c>
      <c r="D585" s="31" t="s">
        <v>490</v>
      </c>
      <c r="E585" s="31" t="s">
        <v>491</v>
      </c>
      <c r="F585" s="31" t="str">
        <f>IF(H585=1,INDEX('Match Results'!$G$6:$G$185,MATCH(A585,'Match Results'!$A$6:$A$185,0)),INDEX('Match Results'!$H$6:$H$185,MATCH(A585,'Match Results'!$A$6:$A$185,0)))</f>
        <v>B4</v>
      </c>
      <c r="G585" s="31" t="str">
        <f>IF(H585=1,INDEX('Match Results'!$H$6:$H$185,MATCH(A585,'Match Results'!$A$6:$A$185,0)),INDEX('Match Results'!$G$6:$G$185,MATCH(A585,'Match Results'!$A$6:$A$185,0)))</f>
        <v>B1</v>
      </c>
      <c r="H585" s="31">
        <v>2</v>
      </c>
      <c r="I585" s="31">
        <v>14</v>
      </c>
      <c r="J585" s="32"/>
      <c r="K585" s="31" t="str">
        <f>IF(J585="","",IFERROR(INDEX('Team Rosters'!$C$6:$C$205,MATCH(J585,'Team Rosters'!$B$6:$B$205,0)),"CODE NOT FOUND"))</f>
        <v/>
      </c>
      <c r="L585" s="31" t="str">
        <f t="shared" si="27"/>
        <v/>
      </c>
      <c r="M585" s="31" t="str">
        <f>IF(OR(J585="",C585&lt;&gt;"League",L585&lt;&gt;"VALID"),"",COUNTIFS($J$6:J585,J585,$G$6:G585,G585,$C$6:C585,"League"))</f>
        <v/>
      </c>
      <c r="N585" s="31" t="str">
        <f t="shared" si="28"/>
        <v/>
      </c>
      <c r="O585" s="37" t="str">
        <f t="shared" si="29"/>
        <v/>
      </c>
    </row>
    <row r="586" spans="1:15" ht="15">
      <c r="A586" s="30">
        <v>121</v>
      </c>
      <c r="B586" s="31" t="s">
        <v>502</v>
      </c>
      <c r="C586" s="31" t="s">
        <v>473</v>
      </c>
      <c r="D586" s="31" t="s">
        <v>471</v>
      </c>
      <c r="E586" s="31" t="s">
        <v>477</v>
      </c>
      <c r="F586" s="31" t="str">
        <f>IF(H586=1,INDEX('Match Results'!$G$6:$G$185,MATCH(A586,'Match Results'!$A$6:$A$185,0)),INDEX('Match Results'!$H$6:$H$185,MATCH(A586,'Match Results'!$A$6:$A$185,0)))</f>
        <v>A1</v>
      </c>
      <c r="G586" s="31" t="str">
        <f>IF(H586=1,INDEX('Match Results'!$H$6:$H$185,MATCH(A586,'Match Results'!$A$6:$A$185,0)),INDEX('Match Results'!$G$6:$G$185,MATCH(A586,'Match Results'!$A$6:$A$185,0)))</f>
        <v>A4</v>
      </c>
      <c r="H586" s="31">
        <v>1</v>
      </c>
      <c r="I586" s="31">
        <v>1</v>
      </c>
      <c r="J586" s="32"/>
      <c r="K586" s="31" t="str">
        <f>IF(J586="","",IFERROR(INDEX('Team Rosters'!$C$6:$C$205,MATCH(J586,'Team Rosters'!$B$6:$B$205,0)),"CODE NOT FOUND"))</f>
        <v/>
      </c>
      <c r="L586" s="31" t="str">
        <f t="shared" si="27"/>
        <v/>
      </c>
      <c r="M586" s="31" t="str">
        <f>IF(OR(J586="",C586&lt;&gt;"League",L586&lt;&gt;"VALID"),"",COUNTIFS($J$6:J586,J586,$G$6:G586,G586,$C$6:C586,"League"))</f>
        <v/>
      </c>
      <c r="N586" s="31" t="str">
        <f t="shared" si="28"/>
        <v/>
      </c>
      <c r="O586" s="37" t="str">
        <f t="shared" si="29"/>
        <v/>
      </c>
    </row>
    <row r="587" spans="1:15" ht="15">
      <c r="A587" s="30">
        <v>121</v>
      </c>
      <c r="B587" s="31" t="s">
        <v>502</v>
      </c>
      <c r="C587" s="31" t="s">
        <v>473</v>
      </c>
      <c r="D587" s="31" t="s">
        <v>471</v>
      </c>
      <c r="E587" s="31" t="s">
        <v>477</v>
      </c>
      <c r="F587" s="31" t="str">
        <f>IF(H587=1,INDEX('Match Results'!$G$6:$G$185,MATCH(A587,'Match Results'!$A$6:$A$185,0)),INDEX('Match Results'!$H$6:$H$185,MATCH(A587,'Match Results'!$A$6:$A$185,0)))</f>
        <v>A1</v>
      </c>
      <c r="G587" s="31" t="str">
        <f>IF(H587=1,INDEX('Match Results'!$H$6:$H$185,MATCH(A587,'Match Results'!$A$6:$A$185,0)),INDEX('Match Results'!$G$6:$G$185,MATCH(A587,'Match Results'!$A$6:$A$185,0)))</f>
        <v>A4</v>
      </c>
      <c r="H587" s="31">
        <v>1</v>
      </c>
      <c r="I587" s="31">
        <v>2</v>
      </c>
      <c r="J587" s="32"/>
      <c r="K587" s="31" t="str">
        <f>IF(J587="","",IFERROR(INDEX('Team Rosters'!$C$6:$C$205,MATCH(J587,'Team Rosters'!$B$6:$B$205,0)),"CODE NOT FOUND"))</f>
        <v/>
      </c>
      <c r="L587" s="31" t="str">
        <f t="shared" si="27"/>
        <v/>
      </c>
      <c r="M587" s="31" t="str">
        <f>IF(OR(J587="",C587&lt;&gt;"League",L587&lt;&gt;"VALID"),"",COUNTIFS($J$6:J587,J587,$G$6:G587,G587,$C$6:C587,"League"))</f>
        <v/>
      </c>
      <c r="N587" s="31" t="str">
        <f t="shared" si="28"/>
        <v/>
      </c>
      <c r="O587" s="37" t="str">
        <f t="shared" si="29"/>
        <v/>
      </c>
    </row>
    <row r="588" spans="1:15" ht="15">
      <c r="A588" s="30">
        <v>121</v>
      </c>
      <c r="B588" s="31" t="s">
        <v>502</v>
      </c>
      <c r="C588" s="31" t="s">
        <v>473</v>
      </c>
      <c r="D588" s="31" t="s">
        <v>471</v>
      </c>
      <c r="E588" s="31" t="s">
        <v>477</v>
      </c>
      <c r="F588" s="31" t="str">
        <f>IF(H588=1,INDEX('Match Results'!$G$6:$G$185,MATCH(A588,'Match Results'!$A$6:$A$185,0)),INDEX('Match Results'!$H$6:$H$185,MATCH(A588,'Match Results'!$A$6:$A$185,0)))</f>
        <v>A4</v>
      </c>
      <c r="G588" s="31" t="str">
        <f>IF(H588=1,INDEX('Match Results'!$H$6:$H$185,MATCH(A588,'Match Results'!$A$6:$A$185,0)),INDEX('Match Results'!$G$6:$G$185,MATCH(A588,'Match Results'!$A$6:$A$185,0)))</f>
        <v>A1</v>
      </c>
      <c r="H588" s="31">
        <v>2</v>
      </c>
      <c r="I588" s="31">
        <v>3</v>
      </c>
      <c r="J588" s="32"/>
      <c r="K588" s="31" t="str">
        <f>IF(J588="","",IFERROR(INDEX('Team Rosters'!$C$6:$C$205,MATCH(J588,'Team Rosters'!$B$6:$B$205,0)),"CODE NOT FOUND"))</f>
        <v/>
      </c>
      <c r="L588" s="31" t="str">
        <f t="shared" si="27"/>
        <v/>
      </c>
      <c r="M588" s="31" t="str">
        <f>IF(OR(J588="",C588&lt;&gt;"League",L588&lt;&gt;"VALID"),"",COUNTIFS($J$6:J588,J588,$G$6:G588,G588,$C$6:C588,"League"))</f>
        <v/>
      </c>
      <c r="N588" s="31" t="str">
        <f t="shared" si="28"/>
        <v/>
      </c>
      <c r="O588" s="37" t="str">
        <f t="shared" si="29"/>
        <v/>
      </c>
    </row>
    <row r="589" spans="1:15" ht="15">
      <c r="A589" s="30">
        <v>121</v>
      </c>
      <c r="B589" s="31" t="s">
        <v>502</v>
      </c>
      <c r="C589" s="31" t="s">
        <v>473</v>
      </c>
      <c r="D589" s="31" t="s">
        <v>471</v>
      </c>
      <c r="E589" s="31" t="s">
        <v>477</v>
      </c>
      <c r="F589" s="31" t="str">
        <f>IF(H589=1,INDEX('Match Results'!$G$6:$G$185,MATCH(A589,'Match Results'!$A$6:$A$185,0)),INDEX('Match Results'!$H$6:$H$185,MATCH(A589,'Match Results'!$A$6:$A$185,0)))</f>
        <v>A4</v>
      </c>
      <c r="G589" s="31" t="str">
        <f>IF(H589=1,INDEX('Match Results'!$H$6:$H$185,MATCH(A589,'Match Results'!$A$6:$A$185,0)),INDEX('Match Results'!$G$6:$G$185,MATCH(A589,'Match Results'!$A$6:$A$185,0)))</f>
        <v>A1</v>
      </c>
      <c r="H589" s="31">
        <v>2</v>
      </c>
      <c r="I589" s="31">
        <v>4</v>
      </c>
      <c r="J589" s="32"/>
      <c r="K589" s="31" t="str">
        <f>IF(J589="","",IFERROR(INDEX('Team Rosters'!$C$6:$C$205,MATCH(J589,'Team Rosters'!$B$6:$B$205,0)),"CODE NOT FOUND"))</f>
        <v/>
      </c>
      <c r="L589" s="31" t="str">
        <f t="shared" si="27"/>
        <v/>
      </c>
      <c r="M589" s="31" t="str">
        <f>IF(OR(J589="",C589&lt;&gt;"League",L589&lt;&gt;"VALID"),"",COUNTIFS($J$6:J589,J589,$G$6:G589,G589,$C$6:C589,"League"))</f>
        <v/>
      </c>
      <c r="N589" s="31" t="str">
        <f t="shared" si="28"/>
        <v/>
      </c>
      <c r="O589" s="37" t="str">
        <f t="shared" si="29"/>
        <v/>
      </c>
    </row>
    <row r="590" spans="1:15" ht="15">
      <c r="A590" s="30">
        <v>122</v>
      </c>
      <c r="B590" s="31" t="s">
        <v>502</v>
      </c>
      <c r="C590" s="31" t="s">
        <v>473</v>
      </c>
      <c r="D590" s="31" t="s">
        <v>471</v>
      </c>
      <c r="E590" s="31" t="s">
        <v>472</v>
      </c>
      <c r="F590" s="31" t="str">
        <f>IF(H590=1,INDEX('Match Results'!$G$6:$G$185,MATCH(A590,'Match Results'!$A$6:$A$185,0)),INDEX('Match Results'!$H$6:$H$185,MATCH(A590,'Match Results'!$A$6:$A$185,0)))</f>
        <v>B1</v>
      </c>
      <c r="G590" s="31" t="str">
        <f>IF(H590=1,INDEX('Match Results'!$H$6:$H$185,MATCH(A590,'Match Results'!$A$6:$A$185,0)),INDEX('Match Results'!$G$6:$G$185,MATCH(A590,'Match Results'!$A$6:$A$185,0)))</f>
        <v>B4</v>
      </c>
      <c r="H590" s="31">
        <v>1</v>
      </c>
      <c r="I590" s="31">
        <v>1</v>
      </c>
      <c r="J590" s="32"/>
      <c r="K590" s="31" t="str">
        <f>IF(J590="","",IFERROR(INDEX('Team Rosters'!$C$6:$C$205,MATCH(J590,'Team Rosters'!$B$6:$B$205,0)),"CODE NOT FOUND"))</f>
        <v/>
      </c>
      <c r="L590" s="31" t="str">
        <f t="shared" si="27"/>
        <v/>
      </c>
      <c r="M590" s="31" t="str">
        <f>IF(OR(J590="",C590&lt;&gt;"League",L590&lt;&gt;"VALID"),"",COUNTIFS($J$6:J590,J590,$G$6:G590,G590,$C$6:C590,"League"))</f>
        <v/>
      </c>
      <c r="N590" s="31" t="str">
        <f t="shared" si="28"/>
        <v/>
      </c>
      <c r="O590" s="37" t="str">
        <f t="shared" si="29"/>
        <v/>
      </c>
    </row>
    <row r="591" spans="1:15" ht="15">
      <c r="A591" s="30">
        <v>122</v>
      </c>
      <c r="B591" s="31" t="s">
        <v>502</v>
      </c>
      <c r="C591" s="31" t="s">
        <v>473</v>
      </c>
      <c r="D591" s="31" t="s">
        <v>471</v>
      </c>
      <c r="E591" s="31" t="s">
        <v>472</v>
      </c>
      <c r="F591" s="31" t="str">
        <f>IF(H591=1,INDEX('Match Results'!$G$6:$G$185,MATCH(A591,'Match Results'!$A$6:$A$185,0)),INDEX('Match Results'!$H$6:$H$185,MATCH(A591,'Match Results'!$A$6:$A$185,0)))</f>
        <v>B1</v>
      </c>
      <c r="G591" s="31" t="str">
        <f>IF(H591=1,INDEX('Match Results'!$H$6:$H$185,MATCH(A591,'Match Results'!$A$6:$A$185,0)),INDEX('Match Results'!$G$6:$G$185,MATCH(A591,'Match Results'!$A$6:$A$185,0)))</f>
        <v>B4</v>
      </c>
      <c r="H591" s="31">
        <v>1</v>
      </c>
      <c r="I591" s="31">
        <v>2</v>
      </c>
      <c r="J591" s="32"/>
      <c r="K591" s="31" t="str">
        <f>IF(J591="","",IFERROR(INDEX('Team Rosters'!$C$6:$C$205,MATCH(J591,'Team Rosters'!$B$6:$B$205,0)),"CODE NOT FOUND"))</f>
        <v/>
      </c>
      <c r="L591" s="31" t="str">
        <f t="shared" si="27"/>
        <v/>
      </c>
      <c r="M591" s="31" t="str">
        <f>IF(OR(J591="",C591&lt;&gt;"League",L591&lt;&gt;"VALID"),"",COUNTIFS($J$6:J591,J591,$G$6:G591,G591,$C$6:C591,"League"))</f>
        <v/>
      </c>
      <c r="N591" s="31" t="str">
        <f t="shared" si="28"/>
        <v/>
      </c>
      <c r="O591" s="37" t="str">
        <f t="shared" si="29"/>
        <v/>
      </c>
    </row>
    <row r="592" spans="1:15" ht="15">
      <c r="A592" s="30">
        <v>122</v>
      </c>
      <c r="B592" s="31" t="s">
        <v>502</v>
      </c>
      <c r="C592" s="31" t="s">
        <v>473</v>
      </c>
      <c r="D592" s="31" t="s">
        <v>471</v>
      </c>
      <c r="E592" s="31" t="s">
        <v>472</v>
      </c>
      <c r="F592" s="31" t="str">
        <f>IF(H592=1,INDEX('Match Results'!$G$6:$G$185,MATCH(A592,'Match Results'!$A$6:$A$185,0)),INDEX('Match Results'!$H$6:$H$185,MATCH(A592,'Match Results'!$A$6:$A$185,0)))</f>
        <v>B4</v>
      </c>
      <c r="G592" s="31" t="str">
        <f>IF(H592=1,INDEX('Match Results'!$H$6:$H$185,MATCH(A592,'Match Results'!$A$6:$A$185,0)),INDEX('Match Results'!$G$6:$G$185,MATCH(A592,'Match Results'!$A$6:$A$185,0)))</f>
        <v>B1</v>
      </c>
      <c r="H592" s="31">
        <v>2</v>
      </c>
      <c r="I592" s="31">
        <v>3</v>
      </c>
      <c r="J592" s="32"/>
      <c r="K592" s="31" t="str">
        <f>IF(J592="","",IFERROR(INDEX('Team Rosters'!$C$6:$C$205,MATCH(J592,'Team Rosters'!$B$6:$B$205,0)),"CODE NOT FOUND"))</f>
        <v/>
      </c>
      <c r="L592" s="31" t="str">
        <f t="shared" si="27"/>
        <v/>
      </c>
      <c r="M592" s="31" t="str">
        <f>IF(OR(J592="",C592&lt;&gt;"League",L592&lt;&gt;"VALID"),"",COUNTIFS($J$6:J592,J592,$G$6:G592,G592,$C$6:C592,"League"))</f>
        <v/>
      </c>
      <c r="N592" s="31" t="str">
        <f t="shared" si="28"/>
        <v/>
      </c>
      <c r="O592" s="37" t="str">
        <f t="shared" si="29"/>
        <v/>
      </c>
    </row>
    <row r="593" spans="1:15" ht="15">
      <c r="A593" s="30">
        <v>122</v>
      </c>
      <c r="B593" s="31" t="s">
        <v>502</v>
      </c>
      <c r="C593" s="31" t="s">
        <v>473</v>
      </c>
      <c r="D593" s="31" t="s">
        <v>471</v>
      </c>
      <c r="E593" s="31" t="s">
        <v>472</v>
      </c>
      <c r="F593" s="31" t="str">
        <f>IF(H593=1,INDEX('Match Results'!$G$6:$G$185,MATCH(A593,'Match Results'!$A$6:$A$185,0)),INDEX('Match Results'!$H$6:$H$185,MATCH(A593,'Match Results'!$A$6:$A$185,0)))</f>
        <v>B4</v>
      </c>
      <c r="G593" s="31" t="str">
        <f>IF(H593=1,INDEX('Match Results'!$H$6:$H$185,MATCH(A593,'Match Results'!$A$6:$A$185,0)),INDEX('Match Results'!$G$6:$G$185,MATCH(A593,'Match Results'!$A$6:$A$185,0)))</f>
        <v>B1</v>
      </c>
      <c r="H593" s="31">
        <v>2</v>
      </c>
      <c r="I593" s="31">
        <v>4</v>
      </c>
      <c r="J593" s="32"/>
      <c r="K593" s="31" t="str">
        <f>IF(J593="","",IFERROR(INDEX('Team Rosters'!$C$6:$C$205,MATCH(J593,'Team Rosters'!$B$6:$B$205,0)),"CODE NOT FOUND"))</f>
        <v/>
      </c>
      <c r="L593" s="31" t="str">
        <f t="shared" si="27"/>
        <v/>
      </c>
      <c r="M593" s="31" t="str">
        <f>IF(OR(J593="",C593&lt;&gt;"League",L593&lt;&gt;"VALID"),"",COUNTIFS($J$6:J593,J593,$G$6:G593,G593,$C$6:C593,"League"))</f>
        <v/>
      </c>
      <c r="N593" s="31" t="str">
        <f t="shared" si="28"/>
        <v/>
      </c>
      <c r="O593" s="37" t="str">
        <f t="shared" si="29"/>
        <v/>
      </c>
    </row>
    <row r="594" spans="1:15" ht="15">
      <c r="A594" s="30">
        <v>123</v>
      </c>
      <c r="B594" s="31" t="s">
        <v>502</v>
      </c>
      <c r="C594" s="31" t="s">
        <v>473</v>
      </c>
      <c r="D594" s="31" t="s">
        <v>471</v>
      </c>
      <c r="E594" s="31" t="s">
        <v>475</v>
      </c>
      <c r="F594" s="31" t="str">
        <f>IF(H594=1,INDEX('Match Results'!$G$6:$G$185,MATCH(A594,'Match Results'!$A$6:$A$185,0)),INDEX('Match Results'!$H$6:$H$185,MATCH(A594,'Match Results'!$A$6:$A$185,0)))</f>
        <v>B2</v>
      </c>
      <c r="G594" s="31" t="str">
        <f>IF(H594=1,INDEX('Match Results'!$H$6:$H$185,MATCH(A594,'Match Results'!$A$6:$A$185,0)),INDEX('Match Results'!$G$6:$G$185,MATCH(A594,'Match Results'!$A$6:$A$185,0)))</f>
        <v>B3</v>
      </c>
      <c r="H594" s="31">
        <v>1</v>
      </c>
      <c r="I594" s="31">
        <v>1</v>
      </c>
      <c r="J594" s="32"/>
      <c r="K594" s="31" t="str">
        <f>IF(J594="","",IFERROR(INDEX('Team Rosters'!$C$6:$C$205,MATCH(J594,'Team Rosters'!$B$6:$B$205,0)),"CODE NOT FOUND"))</f>
        <v/>
      </c>
      <c r="L594" s="31" t="str">
        <f t="shared" si="27"/>
        <v/>
      </c>
      <c r="M594" s="31" t="str">
        <f>IF(OR(J594="",C594&lt;&gt;"League",L594&lt;&gt;"VALID"),"",COUNTIFS($J$6:J594,J594,$G$6:G594,G594,$C$6:C594,"League"))</f>
        <v/>
      </c>
      <c r="N594" s="31" t="str">
        <f t="shared" si="28"/>
        <v/>
      </c>
      <c r="O594" s="37" t="str">
        <f t="shared" si="29"/>
        <v/>
      </c>
    </row>
    <row r="595" spans="1:15" ht="15">
      <c r="A595" s="30">
        <v>123</v>
      </c>
      <c r="B595" s="31" t="s">
        <v>502</v>
      </c>
      <c r="C595" s="31" t="s">
        <v>473</v>
      </c>
      <c r="D595" s="31" t="s">
        <v>471</v>
      </c>
      <c r="E595" s="31" t="s">
        <v>475</v>
      </c>
      <c r="F595" s="31" t="str">
        <f>IF(H595=1,INDEX('Match Results'!$G$6:$G$185,MATCH(A595,'Match Results'!$A$6:$A$185,0)),INDEX('Match Results'!$H$6:$H$185,MATCH(A595,'Match Results'!$A$6:$A$185,0)))</f>
        <v>B2</v>
      </c>
      <c r="G595" s="31" t="str">
        <f>IF(H595=1,INDEX('Match Results'!$H$6:$H$185,MATCH(A595,'Match Results'!$A$6:$A$185,0)),INDEX('Match Results'!$G$6:$G$185,MATCH(A595,'Match Results'!$A$6:$A$185,0)))</f>
        <v>B3</v>
      </c>
      <c r="H595" s="31">
        <v>1</v>
      </c>
      <c r="I595" s="31">
        <v>2</v>
      </c>
      <c r="J595" s="32"/>
      <c r="K595" s="31" t="str">
        <f>IF(J595="","",IFERROR(INDEX('Team Rosters'!$C$6:$C$205,MATCH(J595,'Team Rosters'!$B$6:$B$205,0)),"CODE NOT FOUND"))</f>
        <v/>
      </c>
      <c r="L595" s="31" t="str">
        <f t="shared" si="27"/>
        <v/>
      </c>
      <c r="M595" s="31" t="str">
        <f>IF(OR(J595="",C595&lt;&gt;"League",L595&lt;&gt;"VALID"),"",COUNTIFS($J$6:J595,J595,$G$6:G595,G595,$C$6:C595,"League"))</f>
        <v/>
      </c>
      <c r="N595" s="31" t="str">
        <f t="shared" si="28"/>
        <v/>
      </c>
      <c r="O595" s="37" t="str">
        <f t="shared" si="29"/>
        <v/>
      </c>
    </row>
    <row r="596" spans="1:15" ht="15">
      <c r="A596" s="30">
        <v>123</v>
      </c>
      <c r="B596" s="31" t="s">
        <v>502</v>
      </c>
      <c r="C596" s="31" t="s">
        <v>473</v>
      </c>
      <c r="D596" s="31" t="s">
        <v>471</v>
      </c>
      <c r="E596" s="31" t="s">
        <v>475</v>
      </c>
      <c r="F596" s="31" t="str">
        <f>IF(H596=1,INDEX('Match Results'!$G$6:$G$185,MATCH(A596,'Match Results'!$A$6:$A$185,0)),INDEX('Match Results'!$H$6:$H$185,MATCH(A596,'Match Results'!$A$6:$A$185,0)))</f>
        <v>B3</v>
      </c>
      <c r="G596" s="31" t="str">
        <f>IF(H596=1,INDEX('Match Results'!$H$6:$H$185,MATCH(A596,'Match Results'!$A$6:$A$185,0)),INDEX('Match Results'!$G$6:$G$185,MATCH(A596,'Match Results'!$A$6:$A$185,0)))</f>
        <v>B2</v>
      </c>
      <c r="H596" s="31">
        <v>2</v>
      </c>
      <c r="I596" s="31">
        <v>3</v>
      </c>
      <c r="J596" s="32"/>
      <c r="K596" s="31" t="str">
        <f>IF(J596="","",IFERROR(INDEX('Team Rosters'!$C$6:$C$205,MATCH(J596,'Team Rosters'!$B$6:$B$205,0)),"CODE NOT FOUND"))</f>
        <v/>
      </c>
      <c r="L596" s="31" t="str">
        <f t="shared" si="27"/>
        <v/>
      </c>
      <c r="M596" s="31" t="str">
        <f>IF(OR(J596="",C596&lt;&gt;"League",L596&lt;&gt;"VALID"),"",COUNTIFS($J$6:J596,J596,$G$6:G596,G596,$C$6:C596,"League"))</f>
        <v/>
      </c>
      <c r="N596" s="31" t="str">
        <f t="shared" si="28"/>
        <v/>
      </c>
      <c r="O596" s="37" t="str">
        <f t="shared" si="29"/>
        <v/>
      </c>
    </row>
    <row r="597" spans="1:15" ht="15">
      <c r="A597" s="30">
        <v>123</v>
      </c>
      <c r="B597" s="31" t="s">
        <v>502</v>
      </c>
      <c r="C597" s="31" t="s">
        <v>473</v>
      </c>
      <c r="D597" s="31" t="s">
        <v>471</v>
      </c>
      <c r="E597" s="31" t="s">
        <v>475</v>
      </c>
      <c r="F597" s="31" t="str">
        <f>IF(H597=1,INDEX('Match Results'!$G$6:$G$185,MATCH(A597,'Match Results'!$A$6:$A$185,0)),INDEX('Match Results'!$H$6:$H$185,MATCH(A597,'Match Results'!$A$6:$A$185,0)))</f>
        <v>B3</v>
      </c>
      <c r="G597" s="31" t="str">
        <f>IF(H597=1,INDEX('Match Results'!$H$6:$H$185,MATCH(A597,'Match Results'!$A$6:$A$185,0)),INDEX('Match Results'!$G$6:$G$185,MATCH(A597,'Match Results'!$A$6:$A$185,0)))</f>
        <v>B2</v>
      </c>
      <c r="H597" s="31">
        <v>2</v>
      </c>
      <c r="I597" s="31">
        <v>4</v>
      </c>
      <c r="J597" s="32"/>
      <c r="K597" s="31" t="str">
        <f>IF(J597="","",IFERROR(INDEX('Team Rosters'!$C$6:$C$205,MATCH(J597,'Team Rosters'!$B$6:$B$205,0)),"CODE NOT FOUND"))</f>
        <v/>
      </c>
      <c r="L597" s="31" t="str">
        <f t="shared" si="27"/>
        <v/>
      </c>
      <c r="M597" s="31" t="str">
        <f>IF(OR(J597="",C597&lt;&gt;"League",L597&lt;&gt;"VALID"),"",COUNTIFS($J$6:J597,J597,$G$6:G597,G597,$C$6:C597,"League"))</f>
        <v/>
      </c>
      <c r="N597" s="31" t="str">
        <f t="shared" si="28"/>
        <v/>
      </c>
      <c r="O597" s="37" t="str">
        <f t="shared" si="29"/>
        <v/>
      </c>
    </row>
    <row r="598" spans="1:15" ht="15">
      <c r="A598" s="30">
        <v>124</v>
      </c>
      <c r="B598" s="31" t="s">
        <v>502</v>
      </c>
      <c r="C598" s="31" t="s">
        <v>473</v>
      </c>
      <c r="D598" s="31" t="s">
        <v>479</v>
      </c>
      <c r="E598" s="31" t="s">
        <v>472</v>
      </c>
      <c r="F598" s="31" t="str">
        <f>IF(H598=1,INDEX('Match Results'!$G$6:$G$185,MATCH(A598,'Match Results'!$A$6:$A$185,0)),INDEX('Match Results'!$H$6:$H$185,MATCH(A598,'Match Results'!$A$6:$A$185,0)))</f>
        <v>A2</v>
      </c>
      <c r="G598" s="31" t="str">
        <f>IF(H598=1,INDEX('Match Results'!$H$6:$H$185,MATCH(A598,'Match Results'!$A$6:$A$185,0)),INDEX('Match Results'!$G$6:$G$185,MATCH(A598,'Match Results'!$A$6:$A$185,0)))</f>
        <v>A3</v>
      </c>
      <c r="H598" s="31">
        <v>1</v>
      </c>
      <c r="I598" s="31">
        <v>1</v>
      </c>
      <c r="J598" s="32"/>
      <c r="K598" s="31" t="str">
        <f>IF(J598="","",IFERROR(INDEX('Team Rosters'!$C$6:$C$205,MATCH(J598,'Team Rosters'!$B$6:$B$205,0)),"CODE NOT FOUND"))</f>
        <v/>
      </c>
      <c r="L598" s="31" t="str">
        <f t="shared" si="27"/>
        <v/>
      </c>
      <c r="M598" s="31" t="str">
        <f>IF(OR(J598="",C598&lt;&gt;"League",L598&lt;&gt;"VALID"),"",COUNTIFS($J$6:J598,J598,$G$6:G598,G598,$C$6:C598,"League"))</f>
        <v/>
      </c>
      <c r="N598" s="31" t="str">
        <f t="shared" si="28"/>
        <v/>
      </c>
      <c r="O598" s="37" t="str">
        <f t="shared" si="29"/>
        <v/>
      </c>
    </row>
    <row r="599" spans="1:15" ht="15">
      <c r="A599" s="30">
        <v>124</v>
      </c>
      <c r="B599" s="31" t="s">
        <v>502</v>
      </c>
      <c r="C599" s="31" t="s">
        <v>473</v>
      </c>
      <c r="D599" s="31" t="s">
        <v>479</v>
      </c>
      <c r="E599" s="31" t="s">
        <v>472</v>
      </c>
      <c r="F599" s="31" t="str">
        <f>IF(H599=1,INDEX('Match Results'!$G$6:$G$185,MATCH(A599,'Match Results'!$A$6:$A$185,0)),INDEX('Match Results'!$H$6:$H$185,MATCH(A599,'Match Results'!$A$6:$A$185,0)))</f>
        <v>A2</v>
      </c>
      <c r="G599" s="31" t="str">
        <f>IF(H599=1,INDEX('Match Results'!$H$6:$H$185,MATCH(A599,'Match Results'!$A$6:$A$185,0)),INDEX('Match Results'!$G$6:$G$185,MATCH(A599,'Match Results'!$A$6:$A$185,0)))</f>
        <v>A3</v>
      </c>
      <c r="H599" s="31">
        <v>1</v>
      </c>
      <c r="I599" s="31">
        <v>2</v>
      </c>
      <c r="J599" s="32"/>
      <c r="K599" s="31" t="str">
        <f>IF(J599="","",IFERROR(INDEX('Team Rosters'!$C$6:$C$205,MATCH(J599,'Team Rosters'!$B$6:$B$205,0)),"CODE NOT FOUND"))</f>
        <v/>
      </c>
      <c r="L599" s="31" t="str">
        <f t="shared" si="27"/>
        <v/>
      </c>
      <c r="M599" s="31" t="str">
        <f>IF(OR(J599="",C599&lt;&gt;"League",L599&lt;&gt;"VALID"),"",COUNTIFS($J$6:J599,J599,$G$6:G599,G599,$C$6:C599,"League"))</f>
        <v/>
      </c>
      <c r="N599" s="31" t="str">
        <f t="shared" si="28"/>
        <v/>
      </c>
      <c r="O599" s="37" t="str">
        <f t="shared" si="29"/>
        <v/>
      </c>
    </row>
    <row r="600" spans="1:15" ht="15">
      <c r="A600" s="30">
        <v>124</v>
      </c>
      <c r="B600" s="31" t="s">
        <v>502</v>
      </c>
      <c r="C600" s="31" t="s">
        <v>473</v>
      </c>
      <c r="D600" s="31" t="s">
        <v>479</v>
      </c>
      <c r="E600" s="31" t="s">
        <v>472</v>
      </c>
      <c r="F600" s="31" t="str">
        <f>IF(H600=1,INDEX('Match Results'!$G$6:$G$185,MATCH(A600,'Match Results'!$A$6:$A$185,0)),INDEX('Match Results'!$H$6:$H$185,MATCH(A600,'Match Results'!$A$6:$A$185,0)))</f>
        <v>A3</v>
      </c>
      <c r="G600" s="31" t="str">
        <f>IF(H600=1,INDEX('Match Results'!$H$6:$H$185,MATCH(A600,'Match Results'!$A$6:$A$185,0)),INDEX('Match Results'!$G$6:$G$185,MATCH(A600,'Match Results'!$A$6:$A$185,0)))</f>
        <v>A2</v>
      </c>
      <c r="H600" s="31">
        <v>2</v>
      </c>
      <c r="I600" s="31">
        <v>3</v>
      </c>
      <c r="J600" s="32"/>
      <c r="K600" s="31" t="str">
        <f>IF(J600="","",IFERROR(INDEX('Team Rosters'!$C$6:$C$205,MATCH(J600,'Team Rosters'!$B$6:$B$205,0)),"CODE NOT FOUND"))</f>
        <v/>
      </c>
      <c r="L600" s="31" t="str">
        <f t="shared" si="27"/>
        <v/>
      </c>
      <c r="M600" s="31" t="str">
        <f>IF(OR(J600="",C600&lt;&gt;"League",L600&lt;&gt;"VALID"),"",COUNTIFS($J$6:J600,J600,$G$6:G600,G600,$C$6:C600,"League"))</f>
        <v/>
      </c>
      <c r="N600" s="31" t="str">
        <f t="shared" si="28"/>
        <v/>
      </c>
      <c r="O600" s="37" t="str">
        <f t="shared" si="29"/>
        <v/>
      </c>
    </row>
    <row r="601" spans="1:15" ht="15">
      <c r="A601" s="30">
        <v>124</v>
      </c>
      <c r="B601" s="31" t="s">
        <v>502</v>
      </c>
      <c r="C601" s="31" t="s">
        <v>473</v>
      </c>
      <c r="D601" s="31" t="s">
        <v>479</v>
      </c>
      <c r="E601" s="31" t="s">
        <v>472</v>
      </c>
      <c r="F601" s="31" t="str">
        <f>IF(H601=1,INDEX('Match Results'!$G$6:$G$185,MATCH(A601,'Match Results'!$A$6:$A$185,0)),INDEX('Match Results'!$H$6:$H$185,MATCH(A601,'Match Results'!$A$6:$A$185,0)))</f>
        <v>A3</v>
      </c>
      <c r="G601" s="31" t="str">
        <f>IF(H601=1,INDEX('Match Results'!$H$6:$H$185,MATCH(A601,'Match Results'!$A$6:$A$185,0)),INDEX('Match Results'!$G$6:$G$185,MATCH(A601,'Match Results'!$A$6:$A$185,0)))</f>
        <v>A2</v>
      </c>
      <c r="H601" s="31">
        <v>2</v>
      </c>
      <c r="I601" s="31">
        <v>4</v>
      </c>
      <c r="J601" s="32"/>
      <c r="K601" s="31" t="str">
        <f>IF(J601="","",IFERROR(INDEX('Team Rosters'!$C$6:$C$205,MATCH(J601,'Team Rosters'!$B$6:$B$205,0)),"CODE NOT FOUND"))</f>
        <v/>
      </c>
      <c r="L601" s="31" t="str">
        <f t="shared" si="27"/>
        <v/>
      </c>
      <c r="M601" s="31" t="str">
        <f>IF(OR(J601="",C601&lt;&gt;"League",L601&lt;&gt;"VALID"),"",COUNTIFS($J$6:J601,J601,$G$6:G601,G601,$C$6:C601,"League"))</f>
        <v/>
      </c>
      <c r="N601" s="31" t="str">
        <f t="shared" si="28"/>
        <v/>
      </c>
      <c r="O601" s="37" t="str">
        <f t="shared" si="29"/>
        <v/>
      </c>
    </row>
    <row r="602" spans="1:15" ht="15">
      <c r="A602" s="30">
        <v>125</v>
      </c>
      <c r="B602" s="31" t="s">
        <v>502</v>
      </c>
      <c r="C602" s="31" t="s">
        <v>473</v>
      </c>
      <c r="D602" s="31" t="s">
        <v>479</v>
      </c>
      <c r="E602" s="31" t="s">
        <v>475</v>
      </c>
      <c r="F602" s="31" t="str">
        <f>IF(H602=1,INDEX('Match Results'!$G$6:$G$185,MATCH(A602,'Match Results'!$A$6:$A$185,0)),INDEX('Match Results'!$H$6:$H$185,MATCH(A602,'Match Results'!$A$6:$A$185,0)))</f>
        <v>B1</v>
      </c>
      <c r="G602" s="31" t="str">
        <f>IF(H602=1,INDEX('Match Results'!$H$6:$H$185,MATCH(A602,'Match Results'!$A$6:$A$185,0)),INDEX('Match Results'!$G$6:$G$185,MATCH(A602,'Match Results'!$A$6:$A$185,0)))</f>
        <v>B2</v>
      </c>
      <c r="H602" s="31">
        <v>1</v>
      </c>
      <c r="I602" s="31">
        <v>1</v>
      </c>
      <c r="J602" s="32"/>
      <c r="K602" s="31" t="str">
        <f>IF(J602="","",IFERROR(INDEX('Team Rosters'!$C$6:$C$205,MATCH(J602,'Team Rosters'!$B$6:$B$205,0)),"CODE NOT FOUND"))</f>
        <v/>
      </c>
      <c r="L602" s="31" t="str">
        <f t="shared" si="27"/>
        <v/>
      </c>
      <c r="M602" s="31" t="str">
        <f>IF(OR(J602="",C602&lt;&gt;"League",L602&lt;&gt;"VALID"),"",COUNTIFS($J$6:J602,J602,$G$6:G602,G602,$C$6:C602,"League"))</f>
        <v/>
      </c>
      <c r="N602" s="31" t="str">
        <f t="shared" si="28"/>
        <v/>
      </c>
      <c r="O602" s="37" t="str">
        <f t="shared" si="29"/>
        <v/>
      </c>
    </row>
    <row r="603" spans="1:15" ht="15">
      <c r="A603" s="30">
        <v>125</v>
      </c>
      <c r="B603" s="31" t="s">
        <v>502</v>
      </c>
      <c r="C603" s="31" t="s">
        <v>473</v>
      </c>
      <c r="D603" s="31" t="s">
        <v>479</v>
      </c>
      <c r="E603" s="31" t="s">
        <v>475</v>
      </c>
      <c r="F603" s="31" t="str">
        <f>IF(H603=1,INDEX('Match Results'!$G$6:$G$185,MATCH(A603,'Match Results'!$A$6:$A$185,0)),INDEX('Match Results'!$H$6:$H$185,MATCH(A603,'Match Results'!$A$6:$A$185,0)))</f>
        <v>B1</v>
      </c>
      <c r="G603" s="31" t="str">
        <f>IF(H603=1,INDEX('Match Results'!$H$6:$H$185,MATCH(A603,'Match Results'!$A$6:$A$185,0)),INDEX('Match Results'!$G$6:$G$185,MATCH(A603,'Match Results'!$A$6:$A$185,0)))</f>
        <v>B2</v>
      </c>
      <c r="H603" s="31">
        <v>1</v>
      </c>
      <c r="I603" s="31">
        <v>2</v>
      </c>
      <c r="J603" s="32"/>
      <c r="K603" s="31" t="str">
        <f>IF(J603="","",IFERROR(INDEX('Team Rosters'!$C$6:$C$205,MATCH(J603,'Team Rosters'!$B$6:$B$205,0)),"CODE NOT FOUND"))</f>
        <v/>
      </c>
      <c r="L603" s="31" t="str">
        <f t="shared" si="27"/>
        <v/>
      </c>
      <c r="M603" s="31" t="str">
        <f>IF(OR(J603="",C603&lt;&gt;"League",L603&lt;&gt;"VALID"),"",COUNTIFS($J$6:J603,J603,$G$6:G603,G603,$C$6:C603,"League"))</f>
        <v/>
      </c>
      <c r="N603" s="31" t="str">
        <f t="shared" si="28"/>
        <v/>
      </c>
      <c r="O603" s="37" t="str">
        <f t="shared" si="29"/>
        <v/>
      </c>
    </row>
    <row r="604" spans="1:15" ht="15">
      <c r="A604" s="30">
        <v>125</v>
      </c>
      <c r="B604" s="31" t="s">
        <v>502</v>
      </c>
      <c r="C604" s="31" t="s">
        <v>473</v>
      </c>
      <c r="D604" s="31" t="s">
        <v>479</v>
      </c>
      <c r="E604" s="31" t="s">
        <v>475</v>
      </c>
      <c r="F604" s="31" t="str">
        <f>IF(H604=1,INDEX('Match Results'!$G$6:$G$185,MATCH(A604,'Match Results'!$A$6:$A$185,0)),INDEX('Match Results'!$H$6:$H$185,MATCH(A604,'Match Results'!$A$6:$A$185,0)))</f>
        <v>B2</v>
      </c>
      <c r="G604" s="31" t="str">
        <f>IF(H604=1,INDEX('Match Results'!$H$6:$H$185,MATCH(A604,'Match Results'!$A$6:$A$185,0)),INDEX('Match Results'!$G$6:$G$185,MATCH(A604,'Match Results'!$A$6:$A$185,0)))</f>
        <v>B1</v>
      </c>
      <c r="H604" s="31">
        <v>2</v>
      </c>
      <c r="I604" s="31">
        <v>3</v>
      </c>
      <c r="J604" s="32"/>
      <c r="K604" s="31" t="str">
        <f>IF(J604="","",IFERROR(INDEX('Team Rosters'!$C$6:$C$205,MATCH(J604,'Team Rosters'!$B$6:$B$205,0)),"CODE NOT FOUND"))</f>
        <v/>
      </c>
      <c r="L604" s="31" t="str">
        <f t="shared" si="27"/>
        <v/>
      </c>
      <c r="M604" s="31" t="str">
        <f>IF(OR(J604="",C604&lt;&gt;"League",L604&lt;&gt;"VALID"),"",COUNTIFS($J$6:J604,J604,$G$6:G604,G604,$C$6:C604,"League"))</f>
        <v/>
      </c>
      <c r="N604" s="31" t="str">
        <f t="shared" si="28"/>
        <v/>
      </c>
      <c r="O604" s="37" t="str">
        <f t="shared" si="29"/>
        <v/>
      </c>
    </row>
    <row r="605" spans="1:15" ht="15">
      <c r="A605" s="30">
        <v>125</v>
      </c>
      <c r="B605" s="31" t="s">
        <v>502</v>
      </c>
      <c r="C605" s="31" t="s">
        <v>473</v>
      </c>
      <c r="D605" s="31" t="s">
        <v>479</v>
      </c>
      <c r="E605" s="31" t="s">
        <v>475</v>
      </c>
      <c r="F605" s="31" t="str">
        <f>IF(H605=1,INDEX('Match Results'!$G$6:$G$185,MATCH(A605,'Match Results'!$A$6:$A$185,0)),INDEX('Match Results'!$H$6:$H$185,MATCH(A605,'Match Results'!$A$6:$A$185,0)))</f>
        <v>B2</v>
      </c>
      <c r="G605" s="31" t="str">
        <f>IF(H605=1,INDEX('Match Results'!$H$6:$H$185,MATCH(A605,'Match Results'!$A$6:$A$185,0)),INDEX('Match Results'!$G$6:$G$185,MATCH(A605,'Match Results'!$A$6:$A$185,0)))</f>
        <v>B1</v>
      </c>
      <c r="H605" s="31">
        <v>2</v>
      </c>
      <c r="I605" s="31">
        <v>4</v>
      </c>
      <c r="J605" s="32"/>
      <c r="K605" s="31" t="str">
        <f>IF(J605="","",IFERROR(INDEX('Team Rosters'!$C$6:$C$205,MATCH(J605,'Team Rosters'!$B$6:$B$205,0)),"CODE NOT FOUND"))</f>
        <v/>
      </c>
      <c r="L605" s="31" t="str">
        <f t="shared" si="27"/>
        <v/>
      </c>
      <c r="M605" s="31" t="str">
        <f>IF(OR(J605="",C605&lt;&gt;"League",L605&lt;&gt;"VALID"),"",COUNTIFS($J$6:J605,J605,$G$6:G605,G605,$C$6:C605,"League"))</f>
        <v/>
      </c>
      <c r="N605" s="31" t="str">
        <f t="shared" si="28"/>
        <v/>
      </c>
      <c r="O605" s="37" t="str">
        <f t="shared" si="29"/>
        <v/>
      </c>
    </row>
    <row r="606" spans="1:15" ht="15">
      <c r="A606" s="30">
        <v>126</v>
      </c>
      <c r="B606" s="31" t="s">
        <v>502</v>
      </c>
      <c r="C606" s="31" t="s">
        <v>473</v>
      </c>
      <c r="D606" s="31" t="s">
        <v>479</v>
      </c>
      <c r="E606" s="31" t="s">
        <v>477</v>
      </c>
      <c r="F606" s="31" t="str">
        <f>IF(H606=1,INDEX('Match Results'!$G$6:$G$185,MATCH(A606,'Match Results'!$A$6:$A$185,0)),INDEX('Match Results'!$H$6:$H$185,MATCH(A606,'Match Results'!$A$6:$A$185,0)))</f>
        <v>B3</v>
      </c>
      <c r="G606" s="31" t="str">
        <f>IF(H606=1,INDEX('Match Results'!$H$6:$H$185,MATCH(A606,'Match Results'!$A$6:$A$185,0)),INDEX('Match Results'!$G$6:$G$185,MATCH(A606,'Match Results'!$A$6:$A$185,0)))</f>
        <v>B4</v>
      </c>
      <c r="H606" s="31">
        <v>1</v>
      </c>
      <c r="I606" s="31">
        <v>1</v>
      </c>
      <c r="J606" s="32"/>
      <c r="K606" s="31" t="str">
        <f>IF(J606="","",IFERROR(INDEX('Team Rosters'!$C$6:$C$205,MATCH(J606,'Team Rosters'!$B$6:$B$205,0)),"CODE NOT FOUND"))</f>
        <v/>
      </c>
      <c r="L606" s="31" t="str">
        <f t="shared" si="27"/>
        <v/>
      </c>
      <c r="M606" s="31" t="str">
        <f>IF(OR(J606="",C606&lt;&gt;"League",L606&lt;&gt;"VALID"),"",COUNTIFS($J$6:J606,J606,$G$6:G606,G606,$C$6:C606,"League"))</f>
        <v/>
      </c>
      <c r="N606" s="31" t="str">
        <f t="shared" si="28"/>
        <v/>
      </c>
      <c r="O606" s="37" t="str">
        <f t="shared" si="29"/>
        <v/>
      </c>
    </row>
    <row r="607" spans="1:15" ht="15">
      <c r="A607" s="30">
        <v>126</v>
      </c>
      <c r="B607" s="31" t="s">
        <v>502</v>
      </c>
      <c r="C607" s="31" t="s">
        <v>473</v>
      </c>
      <c r="D607" s="31" t="s">
        <v>479</v>
      </c>
      <c r="E607" s="31" t="s">
        <v>477</v>
      </c>
      <c r="F607" s="31" t="str">
        <f>IF(H607=1,INDEX('Match Results'!$G$6:$G$185,MATCH(A607,'Match Results'!$A$6:$A$185,0)),INDEX('Match Results'!$H$6:$H$185,MATCH(A607,'Match Results'!$A$6:$A$185,0)))</f>
        <v>B3</v>
      </c>
      <c r="G607" s="31" t="str">
        <f>IF(H607=1,INDEX('Match Results'!$H$6:$H$185,MATCH(A607,'Match Results'!$A$6:$A$185,0)),INDEX('Match Results'!$G$6:$G$185,MATCH(A607,'Match Results'!$A$6:$A$185,0)))</f>
        <v>B4</v>
      </c>
      <c r="H607" s="31">
        <v>1</v>
      </c>
      <c r="I607" s="31">
        <v>2</v>
      </c>
      <c r="J607" s="32"/>
      <c r="K607" s="31" t="str">
        <f>IF(J607="","",IFERROR(INDEX('Team Rosters'!$C$6:$C$205,MATCH(J607,'Team Rosters'!$B$6:$B$205,0)),"CODE NOT FOUND"))</f>
        <v/>
      </c>
      <c r="L607" s="31" t="str">
        <f t="shared" si="27"/>
        <v/>
      </c>
      <c r="M607" s="31" t="str">
        <f>IF(OR(J607="",C607&lt;&gt;"League",L607&lt;&gt;"VALID"),"",COUNTIFS($J$6:J607,J607,$G$6:G607,G607,$C$6:C607,"League"))</f>
        <v/>
      </c>
      <c r="N607" s="31" t="str">
        <f t="shared" si="28"/>
        <v/>
      </c>
      <c r="O607" s="37" t="str">
        <f t="shared" si="29"/>
        <v/>
      </c>
    </row>
    <row r="608" spans="1:15" ht="15">
      <c r="A608" s="30">
        <v>126</v>
      </c>
      <c r="B608" s="31" t="s">
        <v>502</v>
      </c>
      <c r="C608" s="31" t="s">
        <v>473</v>
      </c>
      <c r="D608" s="31" t="s">
        <v>479</v>
      </c>
      <c r="E608" s="31" t="s">
        <v>477</v>
      </c>
      <c r="F608" s="31" t="str">
        <f>IF(H608=1,INDEX('Match Results'!$G$6:$G$185,MATCH(A608,'Match Results'!$A$6:$A$185,0)),INDEX('Match Results'!$H$6:$H$185,MATCH(A608,'Match Results'!$A$6:$A$185,0)))</f>
        <v>B4</v>
      </c>
      <c r="G608" s="31" t="str">
        <f>IF(H608=1,INDEX('Match Results'!$H$6:$H$185,MATCH(A608,'Match Results'!$A$6:$A$185,0)),INDEX('Match Results'!$G$6:$G$185,MATCH(A608,'Match Results'!$A$6:$A$185,0)))</f>
        <v>B3</v>
      </c>
      <c r="H608" s="31">
        <v>2</v>
      </c>
      <c r="I608" s="31">
        <v>3</v>
      </c>
      <c r="J608" s="32"/>
      <c r="K608" s="31" t="str">
        <f>IF(J608="","",IFERROR(INDEX('Team Rosters'!$C$6:$C$205,MATCH(J608,'Team Rosters'!$B$6:$B$205,0)),"CODE NOT FOUND"))</f>
        <v/>
      </c>
      <c r="L608" s="31" t="str">
        <f t="shared" si="27"/>
        <v/>
      </c>
      <c r="M608" s="31" t="str">
        <f>IF(OR(J608="",C608&lt;&gt;"League",L608&lt;&gt;"VALID"),"",COUNTIFS($J$6:J608,J608,$G$6:G608,G608,$C$6:C608,"League"))</f>
        <v/>
      </c>
      <c r="N608" s="31" t="str">
        <f t="shared" si="28"/>
        <v/>
      </c>
      <c r="O608" s="37" t="str">
        <f t="shared" si="29"/>
        <v/>
      </c>
    </row>
    <row r="609" spans="1:15" ht="15">
      <c r="A609" s="30">
        <v>126</v>
      </c>
      <c r="B609" s="31" t="s">
        <v>502</v>
      </c>
      <c r="C609" s="31" t="s">
        <v>473</v>
      </c>
      <c r="D609" s="31" t="s">
        <v>479</v>
      </c>
      <c r="E609" s="31" t="s">
        <v>477</v>
      </c>
      <c r="F609" s="31" t="str">
        <f>IF(H609=1,INDEX('Match Results'!$G$6:$G$185,MATCH(A609,'Match Results'!$A$6:$A$185,0)),INDEX('Match Results'!$H$6:$H$185,MATCH(A609,'Match Results'!$A$6:$A$185,0)))</f>
        <v>B4</v>
      </c>
      <c r="G609" s="31" t="str">
        <f>IF(H609=1,INDEX('Match Results'!$H$6:$H$185,MATCH(A609,'Match Results'!$A$6:$A$185,0)),INDEX('Match Results'!$G$6:$G$185,MATCH(A609,'Match Results'!$A$6:$A$185,0)))</f>
        <v>B3</v>
      </c>
      <c r="H609" s="31">
        <v>2</v>
      </c>
      <c r="I609" s="31">
        <v>4</v>
      </c>
      <c r="J609" s="32"/>
      <c r="K609" s="31" t="str">
        <f>IF(J609="","",IFERROR(INDEX('Team Rosters'!$C$6:$C$205,MATCH(J609,'Team Rosters'!$B$6:$B$205,0)),"CODE NOT FOUND"))</f>
        <v/>
      </c>
      <c r="L609" s="31" t="str">
        <f t="shared" si="27"/>
        <v/>
      </c>
      <c r="M609" s="31" t="str">
        <f>IF(OR(J609="",C609&lt;&gt;"League",L609&lt;&gt;"VALID"),"",COUNTIFS($J$6:J609,J609,$G$6:G609,G609,$C$6:C609,"League"))</f>
        <v/>
      </c>
      <c r="N609" s="31" t="str">
        <f t="shared" si="28"/>
        <v/>
      </c>
      <c r="O609" s="37" t="str">
        <f t="shared" si="29"/>
        <v/>
      </c>
    </row>
    <row r="610" spans="1:15" ht="15">
      <c r="A610" s="30">
        <v>127</v>
      </c>
      <c r="B610" s="31" t="s">
        <v>502</v>
      </c>
      <c r="C610" s="31" t="s">
        <v>473</v>
      </c>
      <c r="D610" s="31" t="s">
        <v>483</v>
      </c>
      <c r="E610" s="31" t="s">
        <v>477</v>
      </c>
      <c r="F610" s="31" t="str">
        <f>IF(H610=1,INDEX('Match Results'!$G$6:$G$185,MATCH(A610,'Match Results'!$A$6:$A$185,0)),INDEX('Match Results'!$H$6:$H$185,MATCH(A610,'Match Results'!$A$6:$A$185,0)))</f>
        <v>A1</v>
      </c>
      <c r="G610" s="31" t="str">
        <f>IF(H610=1,INDEX('Match Results'!$H$6:$H$185,MATCH(A610,'Match Results'!$A$6:$A$185,0)),INDEX('Match Results'!$G$6:$G$185,MATCH(A610,'Match Results'!$A$6:$A$185,0)))</f>
        <v>A3</v>
      </c>
      <c r="H610" s="31">
        <v>1</v>
      </c>
      <c r="I610" s="31">
        <v>1</v>
      </c>
      <c r="J610" s="32"/>
      <c r="K610" s="31" t="str">
        <f>IF(J610="","",IFERROR(INDEX('Team Rosters'!$C$6:$C$205,MATCH(J610,'Team Rosters'!$B$6:$B$205,0)),"CODE NOT FOUND"))</f>
        <v/>
      </c>
      <c r="L610" s="31" t="str">
        <f t="shared" si="27"/>
        <v/>
      </c>
      <c r="M610" s="31" t="str">
        <f>IF(OR(J610="",C610&lt;&gt;"League",L610&lt;&gt;"VALID"),"",COUNTIFS($J$6:J610,J610,$G$6:G610,G610,$C$6:C610,"League"))</f>
        <v/>
      </c>
      <c r="N610" s="31" t="str">
        <f t="shared" si="28"/>
        <v/>
      </c>
      <c r="O610" s="37" t="str">
        <f t="shared" si="29"/>
        <v/>
      </c>
    </row>
    <row r="611" spans="1:15" ht="15">
      <c r="A611" s="30">
        <v>127</v>
      </c>
      <c r="B611" s="31" t="s">
        <v>502</v>
      </c>
      <c r="C611" s="31" t="s">
        <v>473</v>
      </c>
      <c r="D611" s="31" t="s">
        <v>483</v>
      </c>
      <c r="E611" s="31" t="s">
        <v>477</v>
      </c>
      <c r="F611" s="31" t="str">
        <f>IF(H611=1,INDEX('Match Results'!$G$6:$G$185,MATCH(A611,'Match Results'!$A$6:$A$185,0)),INDEX('Match Results'!$H$6:$H$185,MATCH(A611,'Match Results'!$A$6:$A$185,0)))</f>
        <v>A1</v>
      </c>
      <c r="G611" s="31" t="str">
        <f>IF(H611=1,INDEX('Match Results'!$H$6:$H$185,MATCH(A611,'Match Results'!$A$6:$A$185,0)),INDEX('Match Results'!$G$6:$G$185,MATCH(A611,'Match Results'!$A$6:$A$185,0)))</f>
        <v>A3</v>
      </c>
      <c r="H611" s="31">
        <v>1</v>
      </c>
      <c r="I611" s="31">
        <v>2</v>
      </c>
      <c r="J611" s="32"/>
      <c r="K611" s="31" t="str">
        <f>IF(J611="","",IFERROR(INDEX('Team Rosters'!$C$6:$C$205,MATCH(J611,'Team Rosters'!$B$6:$B$205,0)),"CODE NOT FOUND"))</f>
        <v/>
      </c>
      <c r="L611" s="31" t="str">
        <f t="shared" si="27"/>
        <v/>
      </c>
      <c r="M611" s="31" t="str">
        <f>IF(OR(J611="",C611&lt;&gt;"League",L611&lt;&gt;"VALID"),"",COUNTIFS($J$6:J611,J611,$G$6:G611,G611,$C$6:C611,"League"))</f>
        <v/>
      </c>
      <c r="N611" s="31" t="str">
        <f t="shared" si="28"/>
        <v/>
      </c>
      <c r="O611" s="37" t="str">
        <f t="shared" si="29"/>
        <v/>
      </c>
    </row>
    <row r="612" spans="1:15" ht="15">
      <c r="A612" s="30">
        <v>127</v>
      </c>
      <c r="B612" s="31" t="s">
        <v>502</v>
      </c>
      <c r="C612" s="31" t="s">
        <v>473</v>
      </c>
      <c r="D612" s="31" t="s">
        <v>483</v>
      </c>
      <c r="E612" s="31" t="s">
        <v>477</v>
      </c>
      <c r="F612" s="31" t="str">
        <f>IF(H612=1,INDEX('Match Results'!$G$6:$G$185,MATCH(A612,'Match Results'!$A$6:$A$185,0)),INDEX('Match Results'!$H$6:$H$185,MATCH(A612,'Match Results'!$A$6:$A$185,0)))</f>
        <v>A3</v>
      </c>
      <c r="G612" s="31" t="str">
        <f>IF(H612=1,INDEX('Match Results'!$H$6:$H$185,MATCH(A612,'Match Results'!$A$6:$A$185,0)),INDEX('Match Results'!$G$6:$G$185,MATCH(A612,'Match Results'!$A$6:$A$185,0)))</f>
        <v>A1</v>
      </c>
      <c r="H612" s="31">
        <v>2</v>
      </c>
      <c r="I612" s="31">
        <v>3</v>
      </c>
      <c r="J612" s="32"/>
      <c r="K612" s="31" t="str">
        <f>IF(J612="","",IFERROR(INDEX('Team Rosters'!$C$6:$C$205,MATCH(J612,'Team Rosters'!$B$6:$B$205,0)),"CODE NOT FOUND"))</f>
        <v/>
      </c>
      <c r="L612" s="31" t="str">
        <f t="shared" si="27"/>
        <v/>
      </c>
      <c r="M612" s="31" t="str">
        <f>IF(OR(J612="",C612&lt;&gt;"League",L612&lt;&gt;"VALID"),"",COUNTIFS($J$6:J612,J612,$G$6:G612,G612,$C$6:C612,"League"))</f>
        <v/>
      </c>
      <c r="N612" s="31" t="str">
        <f t="shared" si="28"/>
        <v/>
      </c>
      <c r="O612" s="37" t="str">
        <f t="shared" si="29"/>
        <v/>
      </c>
    </row>
    <row r="613" spans="1:15" ht="15">
      <c r="A613" s="30">
        <v>127</v>
      </c>
      <c r="B613" s="31" t="s">
        <v>502</v>
      </c>
      <c r="C613" s="31" t="s">
        <v>473</v>
      </c>
      <c r="D613" s="31" t="s">
        <v>483</v>
      </c>
      <c r="E613" s="31" t="s">
        <v>477</v>
      </c>
      <c r="F613" s="31" t="str">
        <f>IF(H613=1,INDEX('Match Results'!$G$6:$G$185,MATCH(A613,'Match Results'!$A$6:$A$185,0)),INDEX('Match Results'!$H$6:$H$185,MATCH(A613,'Match Results'!$A$6:$A$185,0)))</f>
        <v>A3</v>
      </c>
      <c r="G613" s="31" t="str">
        <f>IF(H613=1,INDEX('Match Results'!$H$6:$H$185,MATCH(A613,'Match Results'!$A$6:$A$185,0)),INDEX('Match Results'!$G$6:$G$185,MATCH(A613,'Match Results'!$A$6:$A$185,0)))</f>
        <v>A1</v>
      </c>
      <c r="H613" s="31">
        <v>2</v>
      </c>
      <c r="I613" s="31">
        <v>4</v>
      </c>
      <c r="J613" s="32"/>
      <c r="K613" s="31" t="str">
        <f>IF(J613="","",IFERROR(INDEX('Team Rosters'!$C$6:$C$205,MATCH(J613,'Team Rosters'!$B$6:$B$205,0)),"CODE NOT FOUND"))</f>
        <v/>
      </c>
      <c r="L613" s="31" t="str">
        <f t="shared" si="27"/>
        <v/>
      </c>
      <c r="M613" s="31" t="str">
        <f>IF(OR(J613="",C613&lt;&gt;"League",L613&lt;&gt;"VALID"),"",COUNTIFS($J$6:J613,J613,$G$6:G613,G613,$C$6:C613,"League"))</f>
        <v/>
      </c>
      <c r="N613" s="31" t="str">
        <f t="shared" si="28"/>
        <v/>
      </c>
      <c r="O613" s="37" t="str">
        <f t="shared" si="29"/>
        <v/>
      </c>
    </row>
    <row r="614" spans="1:15" ht="15">
      <c r="A614" s="30">
        <v>128</v>
      </c>
      <c r="B614" s="31" t="s">
        <v>502</v>
      </c>
      <c r="C614" s="31" t="s">
        <v>473</v>
      </c>
      <c r="D614" s="31" t="s">
        <v>483</v>
      </c>
      <c r="E614" s="31" t="s">
        <v>472</v>
      </c>
      <c r="F614" s="31" t="str">
        <f>IF(H614=1,INDEX('Match Results'!$G$6:$G$185,MATCH(A614,'Match Results'!$A$6:$A$185,0)),INDEX('Match Results'!$H$6:$H$185,MATCH(A614,'Match Results'!$A$6:$A$185,0)))</f>
        <v>A2</v>
      </c>
      <c r="G614" s="31" t="str">
        <f>IF(H614=1,INDEX('Match Results'!$H$6:$H$185,MATCH(A614,'Match Results'!$A$6:$A$185,0)),INDEX('Match Results'!$G$6:$G$185,MATCH(A614,'Match Results'!$A$6:$A$185,0)))</f>
        <v>A4</v>
      </c>
      <c r="H614" s="31">
        <v>1</v>
      </c>
      <c r="I614" s="31">
        <v>1</v>
      </c>
      <c r="J614" s="32"/>
      <c r="K614" s="31" t="str">
        <f>IF(J614="","",IFERROR(INDEX('Team Rosters'!$C$6:$C$205,MATCH(J614,'Team Rosters'!$B$6:$B$205,0)),"CODE NOT FOUND"))</f>
        <v/>
      </c>
      <c r="L614" s="31" t="str">
        <f t="shared" si="27"/>
        <v/>
      </c>
      <c r="M614" s="31" t="str">
        <f>IF(OR(J614="",C614&lt;&gt;"League",L614&lt;&gt;"VALID"),"",COUNTIFS($J$6:J614,J614,$G$6:G614,G614,$C$6:C614,"League"))</f>
        <v/>
      </c>
      <c r="N614" s="31" t="str">
        <f t="shared" si="28"/>
        <v/>
      </c>
      <c r="O614" s="37" t="str">
        <f t="shared" si="29"/>
        <v/>
      </c>
    </row>
    <row r="615" spans="1:15" ht="15">
      <c r="A615" s="30">
        <v>128</v>
      </c>
      <c r="B615" s="31" t="s">
        <v>502</v>
      </c>
      <c r="C615" s="31" t="s">
        <v>473</v>
      </c>
      <c r="D615" s="31" t="s">
        <v>483</v>
      </c>
      <c r="E615" s="31" t="s">
        <v>472</v>
      </c>
      <c r="F615" s="31" t="str">
        <f>IF(H615=1,INDEX('Match Results'!$G$6:$G$185,MATCH(A615,'Match Results'!$A$6:$A$185,0)),INDEX('Match Results'!$H$6:$H$185,MATCH(A615,'Match Results'!$A$6:$A$185,0)))</f>
        <v>A2</v>
      </c>
      <c r="G615" s="31" t="str">
        <f>IF(H615=1,INDEX('Match Results'!$H$6:$H$185,MATCH(A615,'Match Results'!$A$6:$A$185,0)),INDEX('Match Results'!$G$6:$G$185,MATCH(A615,'Match Results'!$A$6:$A$185,0)))</f>
        <v>A4</v>
      </c>
      <c r="H615" s="31">
        <v>1</v>
      </c>
      <c r="I615" s="31">
        <v>2</v>
      </c>
      <c r="J615" s="32"/>
      <c r="K615" s="31" t="str">
        <f>IF(J615="","",IFERROR(INDEX('Team Rosters'!$C$6:$C$205,MATCH(J615,'Team Rosters'!$B$6:$B$205,0)),"CODE NOT FOUND"))</f>
        <v/>
      </c>
      <c r="L615" s="31" t="str">
        <f t="shared" si="27"/>
        <v/>
      </c>
      <c r="M615" s="31" t="str">
        <f>IF(OR(J615="",C615&lt;&gt;"League",L615&lt;&gt;"VALID"),"",COUNTIFS($J$6:J615,J615,$G$6:G615,G615,$C$6:C615,"League"))</f>
        <v/>
      </c>
      <c r="N615" s="31" t="str">
        <f t="shared" si="28"/>
        <v/>
      </c>
      <c r="O615" s="37" t="str">
        <f t="shared" si="29"/>
        <v/>
      </c>
    </row>
    <row r="616" spans="1:15" ht="15">
      <c r="A616" s="30">
        <v>128</v>
      </c>
      <c r="B616" s="31" t="s">
        <v>502</v>
      </c>
      <c r="C616" s="31" t="s">
        <v>473</v>
      </c>
      <c r="D616" s="31" t="s">
        <v>483</v>
      </c>
      <c r="E616" s="31" t="s">
        <v>472</v>
      </c>
      <c r="F616" s="31" t="str">
        <f>IF(H616=1,INDEX('Match Results'!$G$6:$G$185,MATCH(A616,'Match Results'!$A$6:$A$185,0)),INDEX('Match Results'!$H$6:$H$185,MATCH(A616,'Match Results'!$A$6:$A$185,0)))</f>
        <v>A4</v>
      </c>
      <c r="G616" s="31" t="str">
        <f>IF(H616=1,INDEX('Match Results'!$H$6:$H$185,MATCH(A616,'Match Results'!$A$6:$A$185,0)),INDEX('Match Results'!$G$6:$G$185,MATCH(A616,'Match Results'!$A$6:$A$185,0)))</f>
        <v>A2</v>
      </c>
      <c r="H616" s="31">
        <v>2</v>
      </c>
      <c r="I616" s="31">
        <v>3</v>
      </c>
      <c r="J616" s="32"/>
      <c r="K616" s="31" t="str">
        <f>IF(J616="","",IFERROR(INDEX('Team Rosters'!$C$6:$C$205,MATCH(J616,'Team Rosters'!$B$6:$B$205,0)),"CODE NOT FOUND"))</f>
        <v/>
      </c>
      <c r="L616" s="31" t="str">
        <f t="shared" si="27"/>
        <v/>
      </c>
      <c r="M616" s="31" t="str">
        <f>IF(OR(J616="",C616&lt;&gt;"League",L616&lt;&gt;"VALID"),"",COUNTIFS($J$6:J616,J616,$G$6:G616,G616,$C$6:C616,"League"))</f>
        <v/>
      </c>
      <c r="N616" s="31" t="str">
        <f t="shared" si="28"/>
        <v/>
      </c>
      <c r="O616" s="37" t="str">
        <f t="shared" si="29"/>
        <v/>
      </c>
    </row>
    <row r="617" spans="1:15" ht="15">
      <c r="A617" s="30">
        <v>128</v>
      </c>
      <c r="B617" s="31" t="s">
        <v>502</v>
      </c>
      <c r="C617" s="31" t="s">
        <v>473</v>
      </c>
      <c r="D617" s="31" t="s">
        <v>483</v>
      </c>
      <c r="E617" s="31" t="s">
        <v>472</v>
      </c>
      <c r="F617" s="31" t="str">
        <f>IF(H617=1,INDEX('Match Results'!$G$6:$G$185,MATCH(A617,'Match Results'!$A$6:$A$185,0)),INDEX('Match Results'!$H$6:$H$185,MATCH(A617,'Match Results'!$A$6:$A$185,0)))</f>
        <v>A4</v>
      </c>
      <c r="G617" s="31" t="str">
        <f>IF(H617=1,INDEX('Match Results'!$H$6:$H$185,MATCH(A617,'Match Results'!$A$6:$A$185,0)),INDEX('Match Results'!$G$6:$G$185,MATCH(A617,'Match Results'!$A$6:$A$185,0)))</f>
        <v>A2</v>
      </c>
      <c r="H617" s="31">
        <v>2</v>
      </c>
      <c r="I617" s="31">
        <v>4</v>
      </c>
      <c r="J617" s="32"/>
      <c r="K617" s="31" t="str">
        <f>IF(J617="","",IFERROR(INDEX('Team Rosters'!$C$6:$C$205,MATCH(J617,'Team Rosters'!$B$6:$B$205,0)),"CODE NOT FOUND"))</f>
        <v/>
      </c>
      <c r="L617" s="31" t="str">
        <f t="shared" si="27"/>
        <v/>
      </c>
      <c r="M617" s="31" t="str">
        <f>IF(OR(J617="",C617&lt;&gt;"League",L617&lt;&gt;"VALID"),"",COUNTIFS($J$6:J617,J617,$G$6:G617,G617,$C$6:C617,"League"))</f>
        <v/>
      </c>
      <c r="N617" s="31" t="str">
        <f t="shared" si="28"/>
        <v/>
      </c>
      <c r="O617" s="37" t="str">
        <f t="shared" si="29"/>
        <v/>
      </c>
    </row>
    <row r="618" spans="1:15" ht="15">
      <c r="A618" s="30">
        <v>129</v>
      </c>
      <c r="B618" s="31" t="s">
        <v>502</v>
      </c>
      <c r="C618" s="31" t="s">
        <v>473</v>
      </c>
      <c r="D618" s="31" t="s">
        <v>486</v>
      </c>
      <c r="E618" s="31" t="s">
        <v>477</v>
      </c>
      <c r="F618" s="31" t="str">
        <f>IF(H618=1,INDEX('Match Results'!$G$6:$G$185,MATCH(A618,'Match Results'!$A$6:$A$185,0)),INDEX('Match Results'!$H$6:$H$185,MATCH(A618,'Match Results'!$A$6:$A$185,0)))</f>
        <v>A1</v>
      </c>
      <c r="G618" s="31" t="str">
        <f>IF(H618=1,INDEX('Match Results'!$H$6:$H$185,MATCH(A618,'Match Results'!$A$6:$A$185,0)),INDEX('Match Results'!$G$6:$G$185,MATCH(A618,'Match Results'!$A$6:$A$185,0)))</f>
        <v>A2</v>
      </c>
      <c r="H618" s="31">
        <v>1</v>
      </c>
      <c r="I618" s="31">
        <v>1</v>
      </c>
      <c r="J618" s="32"/>
      <c r="K618" s="31" t="str">
        <f>IF(J618="","",IFERROR(INDEX('Team Rosters'!$C$6:$C$205,MATCH(J618,'Team Rosters'!$B$6:$B$205,0)),"CODE NOT FOUND"))</f>
        <v/>
      </c>
      <c r="L618" s="31" t="str">
        <f t="shared" si="27"/>
        <v/>
      </c>
      <c r="M618" s="31" t="str">
        <f>IF(OR(J618="",C618&lt;&gt;"League",L618&lt;&gt;"VALID"),"",COUNTIFS($J$6:J618,J618,$G$6:G618,G618,$C$6:C618,"League"))</f>
        <v/>
      </c>
      <c r="N618" s="31" t="str">
        <f t="shared" si="28"/>
        <v/>
      </c>
      <c r="O618" s="37" t="str">
        <f t="shared" si="29"/>
        <v/>
      </c>
    </row>
    <row r="619" spans="1:15" ht="15">
      <c r="A619" s="30">
        <v>129</v>
      </c>
      <c r="B619" s="31" t="s">
        <v>502</v>
      </c>
      <c r="C619" s="31" t="s">
        <v>473</v>
      </c>
      <c r="D619" s="31" t="s">
        <v>486</v>
      </c>
      <c r="E619" s="31" t="s">
        <v>477</v>
      </c>
      <c r="F619" s="31" t="str">
        <f>IF(H619=1,INDEX('Match Results'!$G$6:$G$185,MATCH(A619,'Match Results'!$A$6:$A$185,0)),INDEX('Match Results'!$H$6:$H$185,MATCH(A619,'Match Results'!$A$6:$A$185,0)))</f>
        <v>A1</v>
      </c>
      <c r="G619" s="31" t="str">
        <f>IF(H619=1,INDEX('Match Results'!$H$6:$H$185,MATCH(A619,'Match Results'!$A$6:$A$185,0)),INDEX('Match Results'!$G$6:$G$185,MATCH(A619,'Match Results'!$A$6:$A$185,0)))</f>
        <v>A2</v>
      </c>
      <c r="H619" s="31">
        <v>1</v>
      </c>
      <c r="I619" s="31">
        <v>2</v>
      </c>
      <c r="J619" s="32"/>
      <c r="K619" s="31" t="str">
        <f>IF(J619="","",IFERROR(INDEX('Team Rosters'!$C$6:$C$205,MATCH(J619,'Team Rosters'!$B$6:$B$205,0)),"CODE NOT FOUND"))</f>
        <v/>
      </c>
      <c r="L619" s="31" t="str">
        <f t="shared" si="27"/>
        <v/>
      </c>
      <c r="M619" s="31" t="str">
        <f>IF(OR(J619="",C619&lt;&gt;"League",L619&lt;&gt;"VALID"),"",COUNTIFS($J$6:J619,J619,$G$6:G619,G619,$C$6:C619,"League"))</f>
        <v/>
      </c>
      <c r="N619" s="31" t="str">
        <f t="shared" si="28"/>
        <v/>
      </c>
      <c r="O619" s="37" t="str">
        <f t="shared" si="29"/>
        <v/>
      </c>
    </row>
    <row r="620" spans="1:15" ht="15">
      <c r="A620" s="30">
        <v>129</v>
      </c>
      <c r="B620" s="31" t="s">
        <v>502</v>
      </c>
      <c r="C620" s="31" t="s">
        <v>473</v>
      </c>
      <c r="D620" s="31" t="s">
        <v>486</v>
      </c>
      <c r="E620" s="31" t="s">
        <v>477</v>
      </c>
      <c r="F620" s="31" t="str">
        <f>IF(H620=1,INDEX('Match Results'!$G$6:$G$185,MATCH(A620,'Match Results'!$A$6:$A$185,0)),INDEX('Match Results'!$H$6:$H$185,MATCH(A620,'Match Results'!$A$6:$A$185,0)))</f>
        <v>A2</v>
      </c>
      <c r="G620" s="31" t="str">
        <f>IF(H620=1,INDEX('Match Results'!$H$6:$H$185,MATCH(A620,'Match Results'!$A$6:$A$185,0)),INDEX('Match Results'!$G$6:$G$185,MATCH(A620,'Match Results'!$A$6:$A$185,0)))</f>
        <v>A1</v>
      </c>
      <c r="H620" s="31">
        <v>2</v>
      </c>
      <c r="I620" s="31">
        <v>3</v>
      </c>
      <c r="J620" s="32"/>
      <c r="K620" s="31" t="str">
        <f>IF(J620="","",IFERROR(INDEX('Team Rosters'!$C$6:$C$205,MATCH(J620,'Team Rosters'!$B$6:$B$205,0)),"CODE NOT FOUND"))</f>
        <v/>
      </c>
      <c r="L620" s="31" t="str">
        <f t="shared" si="27"/>
        <v/>
      </c>
      <c r="M620" s="31" t="str">
        <f>IF(OR(J620="",C620&lt;&gt;"League",L620&lt;&gt;"VALID"),"",COUNTIFS($J$6:J620,J620,$G$6:G620,G620,$C$6:C620,"League"))</f>
        <v/>
      </c>
      <c r="N620" s="31" t="str">
        <f t="shared" si="28"/>
        <v/>
      </c>
      <c r="O620" s="37" t="str">
        <f t="shared" si="29"/>
        <v/>
      </c>
    </row>
    <row r="621" spans="1:15" ht="15">
      <c r="A621" s="30">
        <v>129</v>
      </c>
      <c r="B621" s="31" t="s">
        <v>502</v>
      </c>
      <c r="C621" s="31" t="s">
        <v>473</v>
      </c>
      <c r="D621" s="31" t="s">
        <v>486</v>
      </c>
      <c r="E621" s="31" t="s">
        <v>477</v>
      </c>
      <c r="F621" s="31" t="str">
        <f>IF(H621=1,INDEX('Match Results'!$G$6:$G$185,MATCH(A621,'Match Results'!$A$6:$A$185,0)),INDEX('Match Results'!$H$6:$H$185,MATCH(A621,'Match Results'!$A$6:$A$185,0)))</f>
        <v>A2</v>
      </c>
      <c r="G621" s="31" t="str">
        <f>IF(H621=1,INDEX('Match Results'!$H$6:$H$185,MATCH(A621,'Match Results'!$A$6:$A$185,0)),INDEX('Match Results'!$G$6:$G$185,MATCH(A621,'Match Results'!$A$6:$A$185,0)))</f>
        <v>A1</v>
      </c>
      <c r="H621" s="31">
        <v>2</v>
      </c>
      <c r="I621" s="31">
        <v>4</v>
      </c>
      <c r="J621" s="32"/>
      <c r="K621" s="31" t="str">
        <f>IF(J621="","",IFERROR(INDEX('Team Rosters'!$C$6:$C$205,MATCH(J621,'Team Rosters'!$B$6:$B$205,0)),"CODE NOT FOUND"))</f>
        <v/>
      </c>
      <c r="L621" s="31" t="str">
        <f t="shared" si="27"/>
        <v/>
      </c>
      <c r="M621" s="31" t="str">
        <f>IF(OR(J621="",C621&lt;&gt;"League",L621&lt;&gt;"VALID"),"",COUNTIFS($J$6:J621,J621,$G$6:G621,G621,$C$6:C621,"League"))</f>
        <v/>
      </c>
      <c r="N621" s="31" t="str">
        <f t="shared" si="28"/>
        <v/>
      </c>
      <c r="O621" s="37" t="str">
        <f t="shared" si="29"/>
        <v/>
      </c>
    </row>
    <row r="622" spans="1:15" ht="15">
      <c r="A622" s="30">
        <v>130</v>
      </c>
      <c r="B622" s="31" t="s">
        <v>502</v>
      </c>
      <c r="C622" s="31" t="s">
        <v>473</v>
      </c>
      <c r="D622" s="31" t="s">
        <v>486</v>
      </c>
      <c r="E622" s="31" t="s">
        <v>475</v>
      </c>
      <c r="F622" s="31" t="str">
        <f>IF(H622=1,INDEX('Match Results'!$G$6:$G$185,MATCH(A622,'Match Results'!$A$6:$A$185,0)),INDEX('Match Results'!$H$6:$H$185,MATCH(A622,'Match Results'!$A$6:$A$185,0)))</f>
        <v>B1</v>
      </c>
      <c r="G622" s="31" t="str">
        <f>IF(H622=1,INDEX('Match Results'!$H$6:$H$185,MATCH(A622,'Match Results'!$A$6:$A$185,0)),INDEX('Match Results'!$G$6:$G$185,MATCH(A622,'Match Results'!$A$6:$A$185,0)))</f>
        <v>B3</v>
      </c>
      <c r="H622" s="31">
        <v>1</v>
      </c>
      <c r="I622" s="31">
        <v>1</v>
      </c>
      <c r="J622" s="32"/>
      <c r="K622" s="31" t="str">
        <f>IF(J622="","",IFERROR(INDEX('Team Rosters'!$C$6:$C$205,MATCH(J622,'Team Rosters'!$B$6:$B$205,0)),"CODE NOT FOUND"))</f>
        <v/>
      </c>
      <c r="L622" s="31" t="str">
        <f t="shared" si="27"/>
        <v/>
      </c>
      <c r="M622" s="31" t="str">
        <f>IF(OR(J622="",C622&lt;&gt;"League",L622&lt;&gt;"VALID"),"",COUNTIFS($J$6:J622,J622,$G$6:G622,G622,$C$6:C622,"League"))</f>
        <v/>
      </c>
      <c r="N622" s="31" t="str">
        <f t="shared" si="28"/>
        <v/>
      </c>
      <c r="O622" s="37" t="str">
        <f t="shared" si="29"/>
        <v/>
      </c>
    </row>
    <row r="623" spans="1:15" ht="15">
      <c r="A623" s="30">
        <v>130</v>
      </c>
      <c r="B623" s="31" t="s">
        <v>502</v>
      </c>
      <c r="C623" s="31" t="s">
        <v>473</v>
      </c>
      <c r="D623" s="31" t="s">
        <v>486</v>
      </c>
      <c r="E623" s="31" t="s">
        <v>475</v>
      </c>
      <c r="F623" s="31" t="str">
        <f>IF(H623=1,INDEX('Match Results'!$G$6:$G$185,MATCH(A623,'Match Results'!$A$6:$A$185,0)),INDEX('Match Results'!$H$6:$H$185,MATCH(A623,'Match Results'!$A$6:$A$185,0)))</f>
        <v>B1</v>
      </c>
      <c r="G623" s="31" t="str">
        <f>IF(H623=1,INDEX('Match Results'!$H$6:$H$185,MATCH(A623,'Match Results'!$A$6:$A$185,0)),INDEX('Match Results'!$G$6:$G$185,MATCH(A623,'Match Results'!$A$6:$A$185,0)))</f>
        <v>B3</v>
      </c>
      <c r="H623" s="31">
        <v>1</v>
      </c>
      <c r="I623" s="31">
        <v>2</v>
      </c>
      <c r="J623" s="32"/>
      <c r="K623" s="31" t="str">
        <f>IF(J623="","",IFERROR(INDEX('Team Rosters'!$C$6:$C$205,MATCH(J623,'Team Rosters'!$B$6:$B$205,0)),"CODE NOT FOUND"))</f>
        <v/>
      </c>
      <c r="L623" s="31" t="str">
        <f t="shared" si="27"/>
        <v/>
      </c>
      <c r="M623" s="31" t="str">
        <f>IF(OR(J623="",C623&lt;&gt;"League",L623&lt;&gt;"VALID"),"",COUNTIFS($J$6:J623,J623,$G$6:G623,G623,$C$6:C623,"League"))</f>
        <v/>
      </c>
      <c r="N623" s="31" t="str">
        <f t="shared" si="28"/>
        <v/>
      </c>
      <c r="O623" s="37" t="str">
        <f t="shared" si="29"/>
        <v/>
      </c>
    </row>
    <row r="624" spans="1:15" ht="15">
      <c r="A624" s="30">
        <v>130</v>
      </c>
      <c r="B624" s="31" t="s">
        <v>502</v>
      </c>
      <c r="C624" s="31" t="s">
        <v>473</v>
      </c>
      <c r="D624" s="31" t="s">
        <v>486</v>
      </c>
      <c r="E624" s="31" t="s">
        <v>475</v>
      </c>
      <c r="F624" s="31" t="str">
        <f>IF(H624=1,INDEX('Match Results'!$G$6:$G$185,MATCH(A624,'Match Results'!$A$6:$A$185,0)),INDEX('Match Results'!$H$6:$H$185,MATCH(A624,'Match Results'!$A$6:$A$185,0)))</f>
        <v>B3</v>
      </c>
      <c r="G624" s="31" t="str">
        <f>IF(H624=1,INDEX('Match Results'!$H$6:$H$185,MATCH(A624,'Match Results'!$A$6:$A$185,0)),INDEX('Match Results'!$G$6:$G$185,MATCH(A624,'Match Results'!$A$6:$A$185,0)))</f>
        <v>B1</v>
      </c>
      <c r="H624" s="31">
        <v>2</v>
      </c>
      <c r="I624" s="31">
        <v>3</v>
      </c>
      <c r="J624" s="32"/>
      <c r="K624" s="31" t="str">
        <f>IF(J624="","",IFERROR(INDEX('Team Rosters'!$C$6:$C$205,MATCH(J624,'Team Rosters'!$B$6:$B$205,0)),"CODE NOT FOUND"))</f>
        <v/>
      </c>
      <c r="L624" s="31" t="str">
        <f t="shared" si="27"/>
        <v/>
      </c>
      <c r="M624" s="31" t="str">
        <f>IF(OR(J624="",C624&lt;&gt;"League",L624&lt;&gt;"VALID"),"",COUNTIFS($J$6:J624,J624,$G$6:G624,G624,$C$6:C624,"League"))</f>
        <v/>
      </c>
      <c r="N624" s="31" t="str">
        <f t="shared" si="28"/>
        <v/>
      </c>
      <c r="O624" s="37" t="str">
        <f t="shared" si="29"/>
        <v/>
      </c>
    </row>
    <row r="625" spans="1:15" ht="15">
      <c r="A625" s="30">
        <v>130</v>
      </c>
      <c r="B625" s="31" t="s">
        <v>502</v>
      </c>
      <c r="C625" s="31" t="s">
        <v>473</v>
      </c>
      <c r="D625" s="31" t="s">
        <v>486</v>
      </c>
      <c r="E625" s="31" t="s">
        <v>475</v>
      </c>
      <c r="F625" s="31" t="str">
        <f>IF(H625=1,INDEX('Match Results'!$G$6:$G$185,MATCH(A625,'Match Results'!$A$6:$A$185,0)),INDEX('Match Results'!$H$6:$H$185,MATCH(A625,'Match Results'!$A$6:$A$185,0)))</f>
        <v>B3</v>
      </c>
      <c r="G625" s="31" t="str">
        <f>IF(H625=1,INDEX('Match Results'!$H$6:$H$185,MATCH(A625,'Match Results'!$A$6:$A$185,0)),INDEX('Match Results'!$G$6:$G$185,MATCH(A625,'Match Results'!$A$6:$A$185,0)))</f>
        <v>B1</v>
      </c>
      <c r="H625" s="31">
        <v>2</v>
      </c>
      <c r="I625" s="31">
        <v>4</v>
      </c>
      <c r="J625" s="32"/>
      <c r="K625" s="31" t="str">
        <f>IF(J625="","",IFERROR(INDEX('Team Rosters'!$C$6:$C$205,MATCH(J625,'Team Rosters'!$B$6:$B$205,0)),"CODE NOT FOUND"))</f>
        <v/>
      </c>
      <c r="L625" s="31" t="str">
        <f t="shared" si="27"/>
        <v/>
      </c>
      <c r="M625" s="31" t="str">
        <f>IF(OR(J625="",C625&lt;&gt;"League",L625&lt;&gt;"VALID"),"",COUNTIFS($J$6:J625,J625,$G$6:G625,G625,$C$6:C625,"League"))</f>
        <v/>
      </c>
      <c r="N625" s="31" t="str">
        <f t="shared" si="28"/>
        <v/>
      </c>
      <c r="O625" s="37" t="str">
        <f t="shared" si="29"/>
        <v/>
      </c>
    </row>
    <row r="626" spans="1:15" ht="15">
      <c r="A626" s="30">
        <v>131</v>
      </c>
      <c r="B626" s="31" t="s">
        <v>502</v>
      </c>
      <c r="C626" s="31" t="s">
        <v>473</v>
      </c>
      <c r="D626" s="31" t="s">
        <v>486</v>
      </c>
      <c r="E626" s="31" t="s">
        <v>472</v>
      </c>
      <c r="F626" s="31" t="str">
        <f>IF(H626=1,INDEX('Match Results'!$G$6:$G$185,MATCH(A626,'Match Results'!$A$6:$A$185,0)),INDEX('Match Results'!$H$6:$H$185,MATCH(A626,'Match Results'!$A$6:$A$185,0)))</f>
        <v>B2</v>
      </c>
      <c r="G626" s="31" t="str">
        <f>IF(H626=1,INDEX('Match Results'!$H$6:$H$185,MATCH(A626,'Match Results'!$A$6:$A$185,0)),INDEX('Match Results'!$G$6:$G$185,MATCH(A626,'Match Results'!$A$6:$A$185,0)))</f>
        <v>B4</v>
      </c>
      <c r="H626" s="31">
        <v>1</v>
      </c>
      <c r="I626" s="31">
        <v>1</v>
      </c>
      <c r="J626" s="32"/>
      <c r="K626" s="31" t="str">
        <f>IF(J626="","",IFERROR(INDEX('Team Rosters'!$C$6:$C$205,MATCH(J626,'Team Rosters'!$B$6:$B$205,0)),"CODE NOT FOUND"))</f>
        <v/>
      </c>
      <c r="L626" s="31" t="str">
        <f t="shared" si="27"/>
        <v/>
      </c>
      <c r="M626" s="31" t="str">
        <f>IF(OR(J626="",C626&lt;&gt;"League",L626&lt;&gt;"VALID"),"",COUNTIFS($J$6:J626,J626,$G$6:G626,G626,$C$6:C626,"League"))</f>
        <v/>
      </c>
      <c r="N626" s="31" t="str">
        <f t="shared" si="28"/>
        <v/>
      </c>
      <c r="O626" s="37" t="str">
        <f t="shared" si="29"/>
        <v/>
      </c>
    </row>
    <row r="627" spans="1:15" ht="15">
      <c r="A627" s="30">
        <v>131</v>
      </c>
      <c r="B627" s="31" t="s">
        <v>502</v>
      </c>
      <c r="C627" s="31" t="s">
        <v>473</v>
      </c>
      <c r="D627" s="31" t="s">
        <v>486</v>
      </c>
      <c r="E627" s="31" t="s">
        <v>472</v>
      </c>
      <c r="F627" s="31" t="str">
        <f>IF(H627=1,INDEX('Match Results'!$G$6:$G$185,MATCH(A627,'Match Results'!$A$6:$A$185,0)),INDEX('Match Results'!$H$6:$H$185,MATCH(A627,'Match Results'!$A$6:$A$185,0)))</f>
        <v>B2</v>
      </c>
      <c r="G627" s="31" t="str">
        <f>IF(H627=1,INDEX('Match Results'!$H$6:$H$185,MATCH(A627,'Match Results'!$A$6:$A$185,0)),INDEX('Match Results'!$G$6:$G$185,MATCH(A627,'Match Results'!$A$6:$A$185,0)))</f>
        <v>B4</v>
      </c>
      <c r="H627" s="31">
        <v>1</v>
      </c>
      <c r="I627" s="31">
        <v>2</v>
      </c>
      <c r="J627" s="32"/>
      <c r="K627" s="31" t="str">
        <f>IF(J627="","",IFERROR(INDEX('Team Rosters'!$C$6:$C$205,MATCH(J627,'Team Rosters'!$B$6:$B$205,0)),"CODE NOT FOUND"))</f>
        <v/>
      </c>
      <c r="L627" s="31" t="str">
        <f t="shared" si="27"/>
        <v/>
      </c>
      <c r="M627" s="31" t="str">
        <f>IF(OR(J627="",C627&lt;&gt;"League",L627&lt;&gt;"VALID"),"",COUNTIFS($J$6:J627,J627,$G$6:G627,G627,$C$6:C627,"League"))</f>
        <v/>
      </c>
      <c r="N627" s="31" t="str">
        <f t="shared" si="28"/>
        <v/>
      </c>
      <c r="O627" s="37" t="str">
        <f t="shared" si="29"/>
        <v/>
      </c>
    </row>
    <row r="628" spans="1:15" ht="15">
      <c r="A628" s="30">
        <v>131</v>
      </c>
      <c r="B628" s="31" t="s">
        <v>502</v>
      </c>
      <c r="C628" s="31" t="s">
        <v>473</v>
      </c>
      <c r="D628" s="31" t="s">
        <v>486</v>
      </c>
      <c r="E628" s="31" t="s">
        <v>472</v>
      </c>
      <c r="F628" s="31" t="str">
        <f>IF(H628=1,INDEX('Match Results'!$G$6:$G$185,MATCH(A628,'Match Results'!$A$6:$A$185,0)),INDEX('Match Results'!$H$6:$H$185,MATCH(A628,'Match Results'!$A$6:$A$185,0)))</f>
        <v>B4</v>
      </c>
      <c r="G628" s="31" t="str">
        <f>IF(H628=1,INDEX('Match Results'!$H$6:$H$185,MATCH(A628,'Match Results'!$A$6:$A$185,0)),INDEX('Match Results'!$G$6:$G$185,MATCH(A628,'Match Results'!$A$6:$A$185,0)))</f>
        <v>B2</v>
      </c>
      <c r="H628" s="31">
        <v>2</v>
      </c>
      <c r="I628" s="31">
        <v>3</v>
      </c>
      <c r="J628" s="32"/>
      <c r="K628" s="31" t="str">
        <f>IF(J628="","",IFERROR(INDEX('Team Rosters'!$C$6:$C$205,MATCH(J628,'Team Rosters'!$B$6:$B$205,0)),"CODE NOT FOUND"))</f>
        <v/>
      </c>
      <c r="L628" s="31" t="str">
        <f t="shared" si="27"/>
        <v/>
      </c>
      <c r="M628" s="31" t="str">
        <f>IF(OR(J628="",C628&lt;&gt;"League",L628&lt;&gt;"VALID"),"",COUNTIFS($J$6:J628,J628,$G$6:G628,G628,$C$6:C628,"League"))</f>
        <v/>
      </c>
      <c r="N628" s="31" t="str">
        <f t="shared" si="28"/>
        <v/>
      </c>
      <c r="O628" s="37" t="str">
        <f t="shared" si="29"/>
        <v/>
      </c>
    </row>
    <row r="629" spans="1:15" ht="15">
      <c r="A629" s="30">
        <v>131</v>
      </c>
      <c r="B629" s="31" t="s">
        <v>502</v>
      </c>
      <c r="C629" s="31" t="s">
        <v>473</v>
      </c>
      <c r="D629" s="31" t="s">
        <v>486</v>
      </c>
      <c r="E629" s="31" t="s">
        <v>472</v>
      </c>
      <c r="F629" s="31" t="str">
        <f>IF(H629=1,INDEX('Match Results'!$G$6:$G$185,MATCH(A629,'Match Results'!$A$6:$A$185,0)),INDEX('Match Results'!$H$6:$H$185,MATCH(A629,'Match Results'!$A$6:$A$185,0)))</f>
        <v>B4</v>
      </c>
      <c r="G629" s="31" t="str">
        <f>IF(H629=1,INDEX('Match Results'!$H$6:$H$185,MATCH(A629,'Match Results'!$A$6:$A$185,0)),INDEX('Match Results'!$G$6:$G$185,MATCH(A629,'Match Results'!$A$6:$A$185,0)))</f>
        <v>B2</v>
      </c>
      <c r="H629" s="31">
        <v>2</v>
      </c>
      <c r="I629" s="31">
        <v>4</v>
      </c>
      <c r="J629" s="32"/>
      <c r="K629" s="31" t="str">
        <f>IF(J629="","",IFERROR(INDEX('Team Rosters'!$C$6:$C$205,MATCH(J629,'Team Rosters'!$B$6:$B$205,0)),"CODE NOT FOUND"))</f>
        <v/>
      </c>
      <c r="L629" s="31" t="str">
        <f t="shared" si="27"/>
        <v/>
      </c>
      <c r="M629" s="31" t="str">
        <f>IF(OR(J629="",C629&lt;&gt;"League",L629&lt;&gt;"VALID"),"",COUNTIFS($J$6:J629,J629,$G$6:G629,G629,$C$6:C629,"League"))</f>
        <v/>
      </c>
      <c r="N629" s="31" t="str">
        <f t="shared" si="28"/>
        <v/>
      </c>
      <c r="O629" s="37" t="str">
        <f t="shared" si="29"/>
        <v/>
      </c>
    </row>
    <row r="630" spans="1:15" ht="15">
      <c r="A630" s="30">
        <v>132</v>
      </c>
      <c r="B630" s="31" t="s">
        <v>502</v>
      </c>
      <c r="C630" s="31" t="s">
        <v>473</v>
      </c>
      <c r="D630" s="31" t="s">
        <v>490</v>
      </c>
      <c r="E630" s="31" t="s">
        <v>491</v>
      </c>
      <c r="F630" s="31" t="str">
        <f>IF(H630=1,INDEX('Match Results'!$G$6:$G$185,MATCH(A630,'Match Results'!$A$6:$A$185,0)),INDEX('Match Results'!$H$6:$H$185,MATCH(A630,'Match Results'!$A$6:$A$185,0)))</f>
        <v>A3</v>
      </c>
      <c r="G630" s="31" t="str">
        <f>IF(H630=1,INDEX('Match Results'!$H$6:$H$185,MATCH(A630,'Match Results'!$A$6:$A$185,0)),INDEX('Match Results'!$G$6:$G$185,MATCH(A630,'Match Results'!$A$6:$A$185,0)))</f>
        <v>A4</v>
      </c>
      <c r="H630" s="31">
        <v>1</v>
      </c>
      <c r="I630" s="31">
        <v>1</v>
      </c>
      <c r="J630" s="32"/>
      <c r="K630" s="31" t="str">
        <f>IF(J630="","",IFERROR(INDEX('Team Rosters'!$C$6:$C$205,MATCH(J630,'Team Rosters'!$B$6:$B$205,0)),"CODE NOT FOUND"))</f>
        <v/>
      </c>
      <c r="L630" s="31" t="str">
        <f t="shared" si="27"/>
        <v/>
      </c>
      <c r="M630" s="31" t="str">
        <f>IF(OR(J630="",C630&lt;&gt;"League",L630&lt;&gt;"VALID"),"",COUNTIFS($J$6:J630,J630,$G$6:G630,G630,$C$6:C630,"League"))</f>
        <v/>
      </c>
      <c r="N630" s="31" t="str">
        <f t="shared" si="28"/>
        <v/>
      </c>
      <c r="O630" s="37" t="str">
        <f t="shared" si="29"/>
        <v/>
      </c>
    </row>
    <row r="631" spans="1:15" ht="15">
      <c r="A631" s="30">
        <v>132</v>
      </c>
      <c r="B631" s="31" t="s">
        <v>502</v>
      </c>
      <c r="C631" s="31" t="s">
        <v>473</v>
      </c>
      <c r="D631" s="31" t="s">
        <v>490</v>
      </c>
      <c r="E631" s="31" t="s">
        <v>491</v>
      </c>
      <c r="F631" s="31" t="str">
        <f>IF(H631=1,INDEX('Match Results'!$G$6:$G$185,MATCH(A631,'Match Results'!$A$6:$A$185,0)),INDEX('Match Results'!$H$6:$H$185,MATCH(A631,'Match Results'!$A$6:$A$185,0)))</f>
        <v>A3</v>
      </c>
      <c r="G631" s="31" t="str">
        <f>IF(H631=1,INDEX('Match Results'!$H$6:$H$185,MATCH(A631,'Match Results'!$A$6:$A$185,0)),INDEX('Match Results'!$G$6:$G$185,MATCH(A631,'Match Results'!$A$6:$A$185,0)))</f>
        <v>A4</v>
      </c>
      <c r="H631" s="31">
        <v>1</v>
      </c>
      <c r="I631" s="31">
        <v>2</v>
      </c>
      <c r="J631" s="32"/>
      <c r="K631" s="31" t="str">
        <f>IF(J631="","",IFERROR(INDEX('Team Rosters'!$C$6:$C$205,MATCH(J631,'Team Rosters'!$B$6:$B$205,0)),"CODE NOT FOUND"))</f>
        <v/>
      </c>
      <c r="L631" s="31" t="str">
        <f t="shared" si="27"/>
        <v/>
      </c>
      <c r="M631" s="31" t="str">
        <f>IF(OR(J631="",C631&lt;&gt;"League",L631&lt;&gt;"VALID"),"",COUNTIFS($J$6:J631,J631,$G$6:G631,G631,$C$6:C631,"League"))</f>
        <v/>
      </c>
      <c r="N631" s="31" t="str">
        <f t="shared" si="28"/>
        <v/>
      </c>
      <c r="O631" s="37" t="str">
        <f t="shared" si="29"/>
        <v/>
      </c>
    </row>
    <row r="632" spans="1:15" ht="15">
      <c r="A632" s="30">
        <v>132</v>
      </c>
      <c r="B632" s="31" t="s">
        <v>502</v>
      </c>
      <c r="C632" s="31" t="s">
        <v>473</v>
      </c>
      <c r="D632" s="31" t="s">
        <v>490</v>
      </c>
      <c r="E632" s="31" t="s">
        <v>491</v>
      </c>
      <c r="F632" s="31" t="str">
        <f>IF(H632=1,INDEX('Match Results'!$G$6:$G$185,MATCH(A632,'Match Results'!$A$6:$A$185,0)),INDEX('Match Results'!$H$6:$H$185,MATCH(A632,'Match Results'!$A$6:$A$185,0)))</f>
        <v>A3</v>
      </c>
      <c r="G632" s="31" t="str">
        <f>IF(H632=1,INDEX('Match Results'!$H$6:$H$185,MATCH(A632,'Match Results'!$A$6:$A$185,0)),INDEX('Match Results'!$G$6:$G$185,MATCH(A632,'Match Results'!$A$6:$A$185,0)))</f>
        <v>A4</v>
      </c>
      <c r="H632" s="31">
        <v>1</v>
      </c>
      <c r="I632" s="31">
        <v>3</v>
      </c>
      <c r="J632" s="32"/>
      <c r="K632" s="31" t="str">
        <f>IF(J632="","",IFERROR(INDEX('Team Rosters'!$C$6:$C$205,MATCH(J632,'Team Rosters'!$B$6:$B$205,0)),"CODE NOT FOUND"))</f>
        <v/>
      </c>
      <c r="L632" s="31" t="str">
        <f t="shared" si="27"/>
        <v/>
      </c>
      <c r="M632" s="31" t="str">
        <f>IF(OR(J632="",C632&lt;&gt;"League",L632&lt;&gt;"VALID"),"",COUNTIFS($J$6:J632,J632,$G$6:G632,G632,$C$6:C632,"League"))</f>
        <v/>
      </c>
      <c r="N632" s="31" t="str">
        <f t="shared" si="28"/>
        <v/>
      </c>
      <c r="O632" s="37" t="str">
        <f t="shared" si="29"/>
        <v/>
      </c>
    </row>
    <row r="633" spans="1:15" ht="15">
      <c r="A633" s="30">
        <v>132</v>
      </c>
      <c r="B633" s="31" t="s">
        <v>502</v>
      </c>
      <c r="C633" s="31" t="s">
        <v>473</v>
      </c>
      <c r="D633" s="31" t="s">
        <v>490</v>
      </c>
      <c r="E633" s="31" t="s">
        <v>491</v>
      </c>
      <c r="F633" s="31" t="str">
        <f>IF(H633=1,INDEX('Match Results'!$G$6:$G$185,MATCH(A633,'Match Results'!$A$6:$A$185,0)),INDEX('Match Results'!$H$6:$H$185,MATCH(A633,'Match Results'!$A$6:$A$185,0)))</f>
        <v>A3</v>
      </c>
      <c r="G633" s="31" t="str">
        <f>IF(H633=1,INDEX('Match Results'!$H$6:$H$185,MATCH(A633,'Match Results'!$A$6:$A$185,0)),INDEX('Match Results'!$G$6:$G$185,MATCH(A633,'Match Results'!$A$6:$A$185,0)))</f>
        <v>A4</v>
      </c>
      <c r="H633" s="31">
        <v>1</v>
      </c>
      <c r="I633" s="31">
        <v>4</v>
      </c>
      <c r="J633" s="32"/>
      <c r="K633" s="31" t="str">
        <f>IF(J633="","",IFERROR(INDEX('Team Rosters'!$C$6:$C$205,MATCH(J633,'Team Rosters'!$B$6:$B$205,0)),"CODE NOT FOUND"))</f>
        <v/>
      </c>
      <c r="L633" s="31" t="str">
        <f t="shared" si="27"/>
        <v/>
      </c>
      <c r="M633" s="31" t="str">
        <f>IF(OR(J633="",C633&lt;&gt;"League",L633&lt;&gt;"VALID"),"",COUNTIFS($J$6:J633,J633,$G$6:G633,G633,$C$6:C633,"League"))</f>
        <v/>
      </c>
      <c r="N633" s="31" t="str">
        <f t="shared" si="28"/>
        <v/>
      </c>
      <c r="O633" s="37" t="str">
        <f t="shared" si="29"/>
        <v/>
      </c>
    </row>
    <row r="634" spans="1:15" ht="15">
      <c r="A634" s="30">
        <v>132</v>
      </c>
      <c r="B634" s="31" t="s">
        <v>502</v>
      </c>
      <c r="C634" s="31" t="s">
        <v>473</v>
      </c>
      <c r="D634" s="31" t="s">
        <v>490</v>
      </c>
      <c r="E634" s="31" t="s">
        <v>491</v>
      </c>
      <c r="F634" s="31" t="str">
        <f>IF(H634=1,INDEX('Match Results'!$G$6:$G$185,MATCH(A634,'Match Results'!$A$6:$A$185,0)),INDEX('Match Results'!$H$6:$H$185,MATCH(A634,'Match Results'!$A$6:$A$185,0)))</f>
        <v>A3</v>
      </c>
      <c r="G634" s="31" t="str">
        <f>IF(H634=1,INDEX('Match Results'!$H$6:$H$185,MATCH(A634,'Match Results'!$A$6:$A$185,0)),INDEX('Match Results'!$G$6:$G$185,MATCH(A634,'Match Results'!$A$6:$A$185,0)))</f>
        <v>A4</v>
      </c>
      <c r="H634" s="31">
        <v>1</v>
      </c>
      <c r="I634" s="31">
        <v>5</v>
      </c>
      <c r="J634" s="32"/>
      <c r="K634" s="31" t="str">
        <f>IF(J634="","",IFERROR(INDEX('Team Rosters'!$C$6:$C$205,MATCH(J634,'Team Rosters'!$B$6:$B$205,0)),"CODE NOT FOUND"))</f>
        <v/>
      </c>
      <c r="L634" s="31" t="str">
        <f t="shared" si="27"/>
        <v/>
      </c>
      <c r="M634" s="31" t="str">
        <f>IF(OR(J634="",C634&lt;&gt;"League",L634&lt;&gt;"VALID"),"",COUNTIFS($J$6:J634,J634,$G$6:G634,G634,$C$6:C634,"League"))</f>
        <v/>
      </c>
      <c r="N634" s="31" t="str">
        <f t="shared" si="28"/>
        <v/>
      </c>
      <c r="O634" s="37" t="str">
        <f t="shared" si="29"/>
        <v/>
      </c>
    </row>
    <row r="635" spans="1:15" ht="15">
      <c r="A635" s="30">
        <v>132</v>
      </c>
      <c r="B635" s="31" t="s">
        <v>502</v>
      </c>
      <c r="C635" s="31" t="s">
        <v>473</v>
      </c>
      <c r="D635" s="31" t="s">
        <v>490</v>
      </c>
      <c r="E635" s="31" t="s">
        <v>491</v>
      </c>
      <c r="F635" s="31" t="str">
        <f>IF(H635=1,INDEX('Match Results'!$G$6:$G$185,MATCH(A635,'Match Results'!$A$6:$A$185,0)),INDEX('Match Results'!$H$6:$H$185,MATCH(A635,'Match Results'!$A$6:$A$185,0)))</f>
        <v>A3</v>
      </c>
      <c r="G635" s="31" t="str">
        <f>IF(H635=1,INDEX('Match Results'!$H$6:$H$185,MATCH(A635,'Match Results'!$A$6:$A$185,0)),INDEX('Match Results'!$G$6:$G$185,MATCH(A635,'Match Results'!$A$6:$A$185,0)))</f>
        <v>A4</v>
      </c>
      <c r="H635" s="31">
        <v>1</v>
      </c>
      <c r="I635" s="31">
        <v>6</v>
      </c>
      <c r="J635" s="32"/>
      <c r="K635" s="31" t="str">
        <f>IF(J635="","",IFERROR(INDEX('Team Rosters'!$C$6:$C$205,MATCH(J635,'Team Rosters'!$B$6:$B$205,0)),"CODE NOT FOUND"))</f>
        <v/>
      </c>
      <c r="L635" s="31" t="str">
        <f t="shared" si="27"/>
        <v/>
      </c>
      <c r="M635" s="31" t="str">
        <f>IF(OR(J635="",C635&lt;&gt;"League",L635&lt;&gt;"VALID"),"",COUNTIFS($J$6:J635,J635,$G$6:G635,G635,$C$6:C635,"League"))</f>
        <v/>
      </c>
      <c r="N635" s="31" t="str">
        <f t="shared" si="28"/>
        <v/>
      </c>
      <c r="O635" s="37" t="str">
        <f t="shared" si="29"/>
        <v/>
      </c>
    </row>
    <row r="636" spans="1:15" ht="15">
      <c r="A636" s="30">
        <v>132</v>
      </c>
      <c r="B636" s="31" t="s">
        <v>502</v>
      </c>
      <c r="C636" s="31" t="s">
        <v>473</v>
      </c>
      <c r="D636" s="31" t="s">
        <v>490</v>
      </c>
      <c r="E636" s="31" t="s">
        <v>491</v>
      </c>
      <c r="F636" s="31" t="str">
        <f>IF(H636=1,INDEX('Match Results'!$G$6:$G$185,MATCH(A636,'Match Results'!$A$6:$A$185,0)),INDEX('Match Results'!$H$6:$H$185,MATCH(A636,'Match Results'!$A$6:$A$185,0)))</f>
        <v>A3</v>
      </c>
      <c r="G636" s="31" t="str">
        <f>IF(H636=1,INDEX('Match Results'!$H$6:$H$185,MATCH(A636,'Match Results'!$A$6:$A$185,0)),INDEX('Match Results'!$G$6:$G$185,MATCH(A636,'Match Results'!$A$6:$A$185,0)))</f>
        <v>A4</v>
      </c>
      <c r="H636" s="31">
        <v>1</v>
      </c>
      <c r="I636" s="31">
        <v>7</v>
      </c>
      <c r="J636" s="32"/>
      <c r="K636" s="31" t="str">
        <f>IF(J636="","",IFERROR(INDEX('Team Rosters'!$C$6:$C$205,MATCH(J636,'Team Rosters'!$B$6:$B$205,0)),"CODE NOT FOUND"))</f>
        <v/>
      </c>
      <c r="L636" s="31" t="str">
        <f t="shared" si="27"/>
        <v/>
      </c>
      <c r="M636" s="31" t="str">
        <f>IF(OR(J636="",C636&lt;&gt;"League",L636&lt;&gt;"VALID"),"",COUNTIFS($J$6:J636,J636,$G$6:G636,G636,$C$6:C636,"League"))</f>
        <v/>
      </c>
      <c r="N636" s="31" t="str">
        <f t="shared" si="28"/>
        <v/>
      </c>
      <c r="O636" s="37" t="str">
        <f t="shared" si="29"/>
        <v/>
      </c>
    </row>
    <row r="637" spans="1:15" ht="15">
      <c r="A637" s="30">
        <v>132</v>
      </c>
      <c r="B637" s="31" t="s">
        <v>502</v>
      </c>
      <c r="C637" s="31" t="s">
        <v>473</v>
      </c>
      <c r="D637" s="31" t="s">
        <v>490</v>
      </c>
      <c r="E637" s="31" t="s">
        <v>491</v>
      </c>
      <c r="F637" s="31" t="str">
        <f>IF(H637=1,INDEX('Match Results'!$G$6:$G$185,MATCH(A637,'Match Results'!$A$6:$A$185,0)),INDEX('Match Results'!$H$6:$H$185,MATCH(A637,'Match Results'!$A$6:$A$185,0)))</f>
        <v>A4</v>
      </c>
      <c r="G637" s="31" t="str">
        <f>IF(H637=1,INDEX('Match Results'!$H$6:$H$185,MATCH(A637,'Match Results'!$A$6:$A$185,0)),INDEX('Match Results'!$G$6:$G$185,MATCH(A637,'Match Results'!$A$6:$A$185,0)))</f>
        <v>A3</v>
      </c>
      <c r="H637" s="31">
        <v>2</v>
      </c>
      <c r="I637" s="31">
        <v>8</v>
      </c>
      <c r="J637" s="32"/>
      <c r="K637" s="31" t="str">
        <f>IF(J637="","",IFERROR(INDEX('Team Rosters'!$C$6:$C$205,MATCH(J637,'Team Rosters'!$B$6:$B$205,0)),"CODE NOT FOUND"))</f>
        <v/>
      </c>
      <c r="L637" s="31" t="str">
        <f t="shared" si="27"/>
        <v/>
      </c>
      <c r="M637" s="31" t="str">
        <f>IF(OR(J637="",C637&lt;&gt;"League",L637&lt;&gt;"VALID"),"",COUNTIFS($J$6:J637,J637,$G$6:G637,G637,$C$6:C637,"League"))</f>
        <v/>
      </c>
      <c r="N637" s="31" t="str">
        <f t="shared" si="28"/>
        <v/>
      </c>
      <c r="O637" s="37" t="str">
        <f t="shared" si="29"/>
        <v/>
      </c>
    </row>
    <row r="638" spans="1:15" ht="15">
      <c r="A638" s="30">
        <v>132</v>
      </c>
      <c r="B638" s="31" t="s">
        <v>502</v>
      </c>
      <c r="C638" s="31" t="s">
        <v>473</v>
      </c>
      <c r="D638" s="31" t="s">
        <v>490</v>
      </c>
      <c r="E638" s="31" t="s">
        <v>491</v>
      </c>
      <c r="F638" s="31" t="str">
        <f>IF(H638=1,INDEX('Match Results'!$G$6:$G$185,MATCH(A638,'Match Results'!$A$6:$A$185,0)),INDEX('Match Results'!$H$6:$H$185,MATCH(A638,'Match Results'!$A$6:$A$185,0)))</f>
        <v>A4</v>
      </c>
      <c r="G638" s="31" t="str">
        <f>IF(H638=1,INDEX('Match Results'!$H$6:$H$185,MATCH(A638,'Match Results'!$A$6:$A$185,0)),INDEX('Match Results'!$G$6:$G$185,MATCH(A638,'Match Results'!$A$6:$A$185,0)))</f>
        <v>A3</v>
      </c>
      <c r="H638" s="31">
        <v>2</v>
      </c>
      <c r="I638" s="31">
        <v>9</v>
      </c>
      <c r="J638" s="32"/>
      <c r="K638" s="31" t="str">
        <f>IF(J638="","",IFERROR(INDEX('Team Rosters'!$C$6:$C$205,MATCH(J638,'Team Rosters'!$B$6:$B$205,0)),"CODE NOT FOUND"))</f>
        <v/>
      </c>
      <c r="L638" s="31" t="str">
        <f t="shared" si="27"/>
        <v/>
      </c>
      <c r="M638" s="31" t="str">
        <f>IF(OR(J638="",C638&lt;&gt;"League",L638&lt;&gt;"VALID"),"",COUNTIFS($J$6:J638,J638,$G$6:G638,G638,$C$6:C638,"League"))</f>
        <v/>
      </c>
      <c r="N638" s="31" t="str">
        <f t="shared" si="28"/>
        <v/>
      </c>
      <c r="O638" s="37" t="str">
        <f t="shared" si="29"/>
        <v/>
      </c>
    </row>
    <row r="639" spans="1:15" ht="15">
      <c r="A639" s="30">
        <v>132</v>
      </c>
      <c r="B639" s="31" t="s">
        <v>502</v>
      </c>
      <c r="C639" s="31" t="s">
        <v>473</v>
      </c>
      <c r="D639" s="31" t="s">
        <v>490</v>
      </c>
      <c r="E639" s="31" t="s">
        <v>491</v>
      </c>
      <c r="F639" s="31" t="str">
        <f>IF(H639=1,INDEX('Match Results'!$G$6:$G$185,MATCH(A639,'Match Results'!$A$6:$A$185,0)),INDEX('Match Results'!$H$6:$H$185,MATCH(A639,'Match Results'!$A$6:$A$185,0)))</f>
        <v>A4</v>
      </c>
      <c r="G639" s="31" t="str">
        <f>IF(H639=1,INDEX('Match Results'!$H$6:$H$185,MATCH(A639,'Match Results'!$A$6:$A$185,0)),INDEX('Match Results'!$G$6:$G$185,MATCH(A639,'Match Results'!$A$6:$A$185,0)))</f>
        <v>A3</v>
      </c>
      <c r="H639" s="31">
        <v>2</v>
      </c>
      <c r="I639" s="31">
        <v>10</v>
      </c>
      <c r="J639" s="32"/>
      <c r="K639" s="31" t="str">
        <f>IF(J639="","",IFERROR(INDEX('Team Rosters'!$C$6:$C$205,MATCH(J639,'Team Rosters'!$B$6:$B$205,0)),"CODE NOT FOUND"))</f>
        <v/>
      </c>
      <c r="L639" s="31" t="str">
        <f t="shared" si="27"/>
        <v/>
      </c>
      <c r="M639" s="31" t="str">
        <f>IF(OR(J639="",C639&lt;&gt;"League",L639&lt;&gt;"VALID"),"",COUNTIFS($J$6:J639,J639,$G$6:G639,G639,$C$6:C639,"League"))</f>
        <v/>
      </c>
      <c r="N639" s="31" t="str">
        <f t="shared" si="28"/>
        <v/>
      </c>
      <c r="O639" s="37" t="str">
        <f t="shared" si="29"/>
        <v/>
      </c>
    </row>
    <row r="640" spans="1:15" ht="15">
      <c r="A640" s="30">
        <v>132</v>
      </c>
      <c r="B640" s="31" t="s">
        <v>502</v>
      </c>
      <c r="C640" s="31" t="s">
        <v>473</v>
      </c>
      <c r="D640" s="31" t="s">
        <v>490</v>
      </c>
      <c r="E640" s="31" t="s">
        <v>491</v>
      </c>
      <c r="F640" s="31" t="str">
        <f>IF(H640=1,INDEX('Match Results'!$G$6:$G$185,MATCH(A640,'Match Results'!$A$6:$A$185,0)),INDEX('Match Results'!$H$6:$H$185,MATCH(A640,'Match Results'!$A$6:$A$185,0)))</f>
        <v>A4</v>
      </c>
      <c r="G640" s="31" t="str">
        <f>IF(H640=1,INDEX('Match Results'!$H$6:$H$185,MATCH(A640,'Match Results'!$A$6:$A$185,0)),INDEX('Match Results'!$G$6:$G$185,MATCH(A640,'Match Results'!$A$6:$A$185,0)))</f>
        <v>A3</v>
      </c>
      <c r="H640" s="31">
        <v>2</v>
      </c>
      <c r="I640" s="31">
        <v>11</v>
      </c>
      <c r="J640" s="32"/>
      <c r="K640" s="31" t="str">
        <f>IF(J640="","",IFERROR(INDEX('Team Rosters'!$C$6:$C$205,MATCH(J640,'Team Rosters'!$B$6:$B$205,0)),"CODE NOT FOUND"))</f>
        <v/>
      </c>
      <c r="L640" s="31" t="str">
        <f t="shared" si="27"/>
        <v/>
      </c>
      <c r="M640" s="31" t="str">
        <f>IF(OR(J640="",C640&lt;&gt;"League",L640&lt;&gt;"VALID"),"",COUNTIFS($J$6:J640,J640,$G$6:G640,G640,$C$6:C640,"League"))</f>
        <v/>
      </c>
      <c r="N640" s="31" t="str">
        <f t="shared" si="28"/>
        <v/>
      </c>
      <c r="O640" s="37" t="str">
        <f t="shared" si="29"/>
        <v/>
      </c>
    </row>
    <row r="641" spans="1:15" ht="15">
      <c r="A641" s="30">
        <v>132</v>
      </c>
      <c r="B641" s="31" t="s">
        <v>502</v>
      </c>
      <c r="C641" s="31" t="s">
        <v>473</v>
      </c>
      <c r="D641" s="31" t="s">
        <v>490</v>
      </c>
      <c r="E641" s="31" t="s">
        <v>491</v>
      </c>
      <c r="F641" s="31" t="str">
        <f>IF(H641=1,INDEX('Match Results'!$G$6:$G$185,MATCH(A641,'Match Results'!$A$6:$A$185,0)),INDEX('Match Results'!$H$6:$H$185,MATCH(A641,'Match Results'!$A$6:$A$185,0)))</f>
        <v>A4</v>
      </c>
      <c r="G641" s="31" t="str">
        <f>IF(H641=1,INDEX('Match Results'!$H$6:$H$185,MATCH(A641,'Match Results'!$A$6:$A$185,0)),INDEX('Match Results'!$G$6:$G$185,MATCH(A641,'Match Results'!$A$6:$A$185,0)))</f>
        <v>A3</v>
      </c>
      <c r="H641" s="31">
        <v>2</v>
      </c>
      <c r="I641" s="31">
        <v>12</v>
      </c>
      <c r="J641" s="32"/>
      <c r="K641" s="31" t="str">
        <f>IF(J641="","",IFERROR(INDEX('Team Rosters'!$C$6:$C$205,MATCH(J641,'Team Rosters'!$B$6:$B$205,0)),"CODE NOT FOUND"))</f>
        <v/>
      </c>
      <c r="L641" s="31" t="str">
        <f t="shared" si="27"/>
        <v/>
      </c>
      <c r="M641" s="31" t="str">
        <f>IF(OR(J641="",C641&lt;&gt;"League",L641&lt;&gt;"VALID"),"",COUNTIFS($J$6:J641,J641,$G$6:G641,G641,$C$6:C641,"League"))</f>
        <v/>
      </c>
      <c r="N641" s="31" t="str">
        <f t="shared" si="28"/>
        <v/>
      </c>
      <c r="O641" s="37" t="str">
        <f t="shared" si="29"/>
        <v/>
      </c>
    </row>
    <row r="642" spans="1:15" ht="15">
      <c r="A642" s="30">
        <v>132</v>
      </c>
      <c r="B642" s="31" t="s">
        <v>502</v>
      </c>
      <c r="C642" s="31" t="s">
        <v>473</v>
      </c>
      <c r="D642" s="31" t="s">
        <v>490</v>
      </c>
      <c r="E642" s="31" t="s">
        <v>491</v>
      </c>
      <c r="F642" s="31" t="str">
        <f>IF(H642=1,INDEX('Match Results'!$G$6:$G$185,MATCH(A642,'Match Results'!$A$6:$A$185,0)),INDEX('Match Results'!$H$6:$H$185,MATCH(A642,'Match Results'!$A$6:$A$185,0)))</f>
        <v>A4</v>
      </c>
      <c r="G642" s="31" t="str">
        <f>IF(H642=1,INDEX('Match Results'!$H$6:$H$185,MATCH(A642,'Match Results'!$A$6:$A$185,0)),INDEX('Match Results'!$G$6:$G$185,MATCH(A642,'Match Results'!$A$6:$A$185,0)))</f>
        <v>A3</v>
      </c>
      <c r="H642" s="31">
        <v>2</v>
      </c>
      <c r="I642" s="31">
        <v>13</v>
      </c>
      <c r="J642" s="32"/>
      <c r="K642" s="31" t="str">
        <f>IF(J642="","",IFERROR(INDEX('Team Rosters'!$C$6:$C$205,MATCH(J642,'Team Rosters'!$B$6:$B$205,0)),"CODE NOT FOUND"))</f>
        <v/>
      </c>
      <c r="L642" s="31" t="str">
        <f t="shared" si="27"/>
        <v/>
      </c>
      <c r="M642" s="31" t="str">
        <f>IF(OR(J642="",C642&lt;&gt;"League",L642&lt;&gt;"VALID"),"",COUNTIFS($J$6:J642,J642,$G$6:G642,G642,$C$6:C642,"League"))</f>
        <v/>
      </c>
      <c r="N642" s="31" t="str">
        <f t="shared" si="28"/>
        <v/>
      </c>
      <c r="O642" s="37" t="str">
        <f t="shared" si="29"/>
        <v/>
      </c>
    </row>
    <row r="643" spans="1:15" ht="15">
      <c r="A643" s="30">
        <v>132</v>
      </c>
      <c r="B643" s="31" t="s">
        <v>502</v>
      </c>
      <c r="C643" s="31" t="s">
        <v>473</v>
      </c>
      <c r="D643" s="31" t="s">
        <v>490</v>
      </c>
      <c r="E643" s="31" t="s">
        <v>491</v>
      </c>
      <c r="F643" s="31" t="str">
        <f>IF(H643=1,INDEX('Match Results'!$G$6:$G$185,MATCH(A643,'Match Results'!$A$6:$A$185,0)),INDEX('Match Results'!$H$6:$H$185,MATCH(A643,'Match Results'!$A$6:$A$185,0)))</f>
        <v>A4</v>
      </c>
      <c r="G643" s="31" t="str">
        <f>IF(H643=1,INDEX('Match Results'!$H$6:$H$185,MATCH(A643,'Match Results'!$A$6:$A$185,0)),INDEX('Match Results'!$G$6:$G$185,MATCH(A643,'Match Results'!$A$6:$A$185,0)))</f>
        <v>A3</v>
      </c>
      <c r="H643" s="31">
        <v>2</v>
      </c>
      <c r="I643" s="31">
        <v>14</v>
      </c>
      <c r="J643" s="32"/>
      <c r="K643" s="31" t="str">
        <f>IF(J643="","",IFERROR(INDEX('Team Rosters'!$C$6:$C$205,MATCH(J643,'Team Rosters'!$B$6:$B$205,0)),"CODE NOT FOUND"))</f>
        <v/>
      </c>
      <c r="L643" s="31" t="str">
        <f t="shared" si="27"/>
        <v/>
      </c>
      <c r="M643" s="31" t="str">
        <f>IF(OR(J643="",C643&lt;&gt;"League",L643&lt;&gt;"VALID"),"",COUNTIFS($J$6:J643,J643,$G$6:G643,G643,$C$6:C643,"League"))</f>
        <v/>
      </c>
      <c r="N643" s="31" t="str">
        <f t="shared" si="28"/>
        <v/>
      </c>
      <c r="O643" s="37" t="str">
        <f t="shared" si="29"/>
        <v/>
      </c>
    </row>
    <row r="644" spans="1:15" ht="15">
      <c r="A644" s="30">
        <v>133</v>
      </c>
      <c r="B644" s="31" t="s">
        <v>503</v>
      </c>
      <c r="C644" s="31" t="s">
        <v>473</v>
      </c>
      <c r="D644" s="31" t="s">
        <v>471</v>
      </c>
      <c r="E644" s="31" t="s">
        <v>472</v>
      </c>
      <c r="F644" s="31" t="str">
        <f>IF(H644=1,INDEX('Match Results'!$G$6:$G$185,MATCH(A644,'Match Results'!$A$6:$A$185,0)),INDEX('Match Results'!$H$6:$H$185,MATCH(A644,'Match Results'!$A$6:$A$185,0)))</f>
        <v>A3</v>
      </c>
      <c r="G644" s="31" t="str">
        <f>IF(H644=1,INDEX('Match Results'!$H$6:$H$185,MATCH(A644,'Match Results'!$A$6:$A$185,0)),INDEX('Match Results'!$G$6:$G$185,MATCH(A644,'Match Results'!$A$6:$A$185,0)))</f>
        <v>A4</v>
      </c>
      <c r="H644" s="31">
        <v>1</v>
      </c>
      <c r="I644" s="31">
        <v>1</v>
      </c>
      <c r="J644" s="32"/>
      <c r="K644" s="31" t="str">
        <f>IF(J644="","",IFERROR(INDEX('Team Rosters'!$C$6:$C$205,MATCH(J644,'Team Rosters'!$B$6:$B$205,0)),"CODE NOT FOUND"))</f>
        <v/>
      </c>
      <c r="L644" s="31" t="str">
        <f t="shared" si="27"/>
        <v/>
      </c>
      <c r="M644" s="31" t="str">
        <f>IF(OR(J644="",C644&lt;&gt;"League",L644&lt;&gt;"VALID"),"",COUNTIFS($J$6:J644,J644,$G$6:G644,G644,$C$6:C644,"League"))</f>
        <v/>
      </c>
      <c r="N644" s="31" t="str">
        <f t="shared" si="28"/>
        <v/>
      </c>
      <c r="O644" s="37" t="str">
        <f t="shared" si="29"/>
        <v/>
      </c>
    </row>
    <row r="645" spans="1:15" ht="15">
      <c r="A645" s="30">
        <v>133</v>
      </c>
      <c r="B645" s="31" t="s">
        <v>503</v>
      </c>
      <c r="C645" s="31" t="s">
        <v>473</v>
      </c>
      <c r="D645" s="31" t="s">
        <v>471</v>
      </c>
      <c r="E645" s="31" t="s">
        <v>472</v>
      </c>
      <c r="F645" s="31" t="str">
        <f>IF(H645=1,INDEX('Match Results'!$G$6:$G$185,MATCH(A645,'Match Results'!$A$6:$A$185,0)),INDEX('Match Results'!$H$6:$H$185,MATCH(A645,'Match Results'!$A$6:$A$185,0)))</f>
        <v>A3</v>
      </c>
      <c r="G645" s="31" t="str">
        <f>IF(H645=1,INDEX('Match Results'!$H$6:$H$185,MATCH(A645,'Match Results'!$A$6:$A$185,0)),INDEX('Match Results'!$G$6:$G$185,MATCH(A645,'Match Results'!$A$6:$A$185,0)))</f>
        <v>A4</v>
      </c>
      <c r="H645" s="31">
        <v>1</v>
      </c>
      <c r="I645" s="31">
        <v>2</v>
      </c>
      <c r="J645" s="32"/>
      <c r="K645" s="31" t="str">
        <f>IF(J645="","",IFERROR(INDEX('Team Rosters'!$C$6:$C$205,MATCH(J645,'Team Rosters'!$B$6:$B$205,0)),"CODE NOT FOUND"))</f>
        <v/>
      </c>
      <c r="L645" s="31" t="str">
        <f t="shared" si="27"/>
        <v/>
      </c>
      <c r="M645" s="31" t="str">
        <f>IF(OR(J645="",C645&lt;&gt;"League",L645&lt;&gt;"VALID"),"",COUNTIFS($J$6:J645,J645,$G$6:G645,G645,$C$6:C645,"League"))</f>
        <v/>
      </c>
      <c r="N645" s="31" t="str">
        <f t="shared" si="28"/>
        <v/>
      </c>
      <c r="O645" s="37" t="str">
        <f t="shared" si="29"/>
        <v/>
      </c>
    </row>
    <row r="646" spans="1:15" ht="15">
      <c r="A646" s="30">
        <v>133</v>
      </c>
      <c r="B646" s="31" t="s">
        <v>503</v>
      </c>
      <c r="C646" s="31" t="s">
        <v>473</v>
      </c>
      <c r="D646" s="31" t="s">
        <v>471</v>
      </c>
      <c r="E646" s="31" t="s">
        <v>472</v>
      </c>
      <c r="F646" s="31" t="str">
        <f>IF(H646=1,INDEX('Match Results'!$G$6:$G$185,MATCH(A646,'Match Results'!$A$6:$A$185,0)),INDEX('Match Results'!$H$6:$H$185,MATCH(A646,'Match Results'!$A$6:$A$185,0)))</f>
        <v>A4</v>
      </c>
      <c r="G646" s="31" t="str">
        <f>IF(H646=1,INDEX('Match Results'!$H$6:$H$185,MATCH(A646,'Match Results'!$A$6:$A$185,0)),INDEX('Match Results'!$G$6:$G$185,MATCH(A646,'Match Results'!$A$6:$A$185,0)))</f>
        <v>A3</v>
      </c>
      <c r="H646" s="31">
        <v>2</v>
      </c>
      <c r="I646" s="31">
        <v>3</v>
      </c>
      <c r="J646" s="32"/>
      <c r="K646" s="31" t="str">
        <f>IF(J646="","",IFERROR(INDEX('Team Rosters'!$C$6:$C$205,MATCH(J646,'Team Rosters'!$B$6:$B$205,0)),"CODE NOT FOUND"))</f>
        <v/>
      </c>
      <c r="L646" s="31" t="str">
        <f t="shared" ref="L646:L709" si="30">IF(J646="","",IF(AND(K646&lt;&gt;"",K646&lt;&gt;"CODE NOT FOUND",LEFT(J646,2)=F646),"VALID","CHECK ROSTER"))</f>
        <v/>
      </c>
      <c r="M646" s="31" t="str">
        <f>IF(OR(J646="",C646&lt;&gt;"League",L646&lt;&gt;"VALID"),"",COUNTIFS($J$6:J646,J646,$G$6:G646,G646,$C$6:C646,"League"))</f>
        <v/>
      </c>
      <c r="N646" s="31" t="str">
        <f t="shared" ref="N646:N709" si="31">IF(J646="","",IF(L646&lt;&gt;"VALID","CHECK ROSTER",IF(C646&lt;&gt;"League","NOT APPLICABLE",IF(M646&lt;=2,"OK","VIOLATION"))))</f>
        <v/>
      </c>
      <c r="O646" s="37" t="str">
        <f t="shared" ref="O646:O709" si="32">IF(N646="VIOLATION",K646&amp;" has played "&amp;M646&amp;" league matches against "&amp;G646&amp;"; limit is 2.","")</f>
        <v/>
      </c>
    </row>
    <row r="647" spans="1:15" ht="15">
      <c r="A647" s="30">
        <v>133</v>
      </c>
      <c r="B647" s="31" t="s">
        <v>503</v>
      </c>
      <c r="C647" s="31" t="s">
        <v>473</v>
      </c>
      <c r="D647" s="31" t="s">
        <v>471</v>
      </c>
      <c r="E647" s="31" t="s">
        <v>472</v>
      </c>
      <c r="F647" s="31" t="str">
        <f>IF(H647=1,INDEX('Match Results'!$G$6:$G$185,MATCH(A647,'Match Results'!$A$6:$A$185,0)),INDEX('Match Results'!$H$6:$H$185,MATCH(A647,'Match Results'!$A$6:$A$185,0)))</f>
        <v>A4</v>
      </c>
      <c r="G647" s="31" t="str">
        <f>IF(H647=1,INDEX('Match Results'!$H$6:$H$185,MATCH(A647,'Match Results'!$A$6:$A$185,0)),INDEX('Match Results'!$G$6:$G$185,MATCH(A647,'Match Results'!$A$6:$A$185,0)))</f>
        <v>A3</v>
      </c>
      <c r="H647" s="31">
        <v>2</v>
      </c>
      <c r="I647" s="31">
        <v>4</v>
      </c>
      <c r="J647" s="32"/>
      <c r="K647" s="31" t="str">
        <f>IF(J647="","",IFERROR(INDEX('Team Rosters'!$C$6:$C$205,MATCH(J647,'Team Rosters'!$B$6:$B$205,0)),"CODE NOT FOUND"))</f>
        <v/>
      </c>
      <c r="L647" s="31" t="str">
        <f t="shared" si="30"/>
        <v/>
      </c>
      <c r="M647" s="31" t="str">
        <f>IF(OR(J647="",C647&lt;&gt;"League",L647&lt;&gt;"VALID"),"",COUNTIFS($J$6:J647,J647,$G$6:G647,G647,$C$6:C647,"League"))</f>
        <v/>
      </c>
      <c r="N647" s="31" t="str">
        <f t="shared" si="31"/>
        <v/>
      </c>
      <c r="O647" s="37" t="str">
        <f t="shared" si="32"/>
        <v/>
      </c>
    </row>
    <row r="648" spans="1:15" ht="15">
      <c r="A648" s="30">
        <v>134</v>
      </c>
      <c r="B648" s="31" t="s">
        <v>503</v>
      </c>
      <c r="C648" s="31" t="s">
        <v>473</v>
      </c>
      <c r="D648" s="31" t="s">
        <v>471</v>
      </c>
      <c r="E648" s="31" t="s">
        <v>475</v>
      </c>
      <c r="F648" s="31" t="str">
        <f>IF(H648=1,INDEX('Match Results'!$G$6:$G$185,MATCH(A648,'Match Results'!$A$6:$A$185,0)),INDEX('Match Results'!$H$6:$H$185,MATCH(A648,'Match Results'!$A$6:$A$185,0)))</f>
        <v>B1</v>
      </c>
      <c r="G648" s="31" t="str">
        <f>IF(H648=1,INDEX('Match Results'!$H$6:$H$185,MATCH(A648,'Match Results'!$A$6:$A$185,0)),INDEX('Match Results'!$G$6:$G$185,MATCH(A648,'Match Results'!$A$6:$A$185,0)))</f>
        <v>B4</v>
      </c>
      <c r="H648" s="31">
        <v>1</v>
      </c>
      <c r="I648" s="31">
        <v>1</v>
      </c>
      <c r="J648" s="32"/>
      <c r="K648" s="31" t="str">
        <f>IF(J648="","",IFERROR(INDEX('Team Rosters'!$C$6:$C$205,MATCH(J648,'Team Rosters'!$B$6:$B$205,0)),"CODE NOT FOUND"))</f>
        <v/>
      </c>
      <c r="L648" s="31" t="str">
        <f t="shared" si="30"/>
        <v/>
      </c>
      <c r="M648" s="31" t="str">
        <f>IF(OR(J648="",C648&lt;&gt;"League",L648&lt;&gt;"VALID"),"",COUNTIFS($J$6:J648,J648,$G$6:G648,G648,$C$6:C648,"League"))</f>
        <v/>
      </c>
      <c r="N648" s="31" t="str">
        <f t="shared" si="31"/>
        <v/>
      </c>
      <c r="O648" s="37" t="str">
        <f t="shared" si="32"/>
        <v/>
      </c>
    </row>
    <row r="649" spans="1:15" ht="15">
      <c r="A649" s="30">
        <v>134</v>
      </c>
      <c r="B649" s="31" t="s">
        <v>503</v>
      </c>
      <c r="C649" s="31" t="s">
        <v>473</v>
      </c>
      <c r="D649" s="31" t="s">
        <v>471</v>
      </c>
      <c r="E649" s="31" t="s">
        <v>475</v>
      </c>
      <c r="F649" s="31" t="str">
        <f>IF(H649=1,INDEX('Match Results'!$G$6:$G$185,MATCH(A649,'Match Results'!$A$6:$A$185,0)),INDEX('Match Results'!$H$6:$H$185,MATCH(A649,'Match Results'!$A$6:$A$185,0)))</f>
        <v>B1</v>
      </c>
      <c r="G649" s="31" t="str">
        <f>IF(H649=1,INDEX('Match Results'!$H$6:$H$185,MATCH(A649,'Match Results'!$A$6:$A$185,0)),INDEX('Match Results'!$G$6:$G$185,MATCH(A649,'Match Results'!$A$6:$A$185,0)))</f>
        <v>B4</v>
      </c>
      <c r="H649" s="31">
        <v>1</v>
      </c>
      <c r="I649" s="31">
        <v>2</v>
      </c>
      <c r="J649" s="32"/>
      <c r="K649" s="31" t="str">
        <f>IF(J649="","",IFERROR(INDEX('Team Rosters'!$C$6:$C$205,MATCH(J649,'Team Rosters'!$B$6:$B$205,0)),"CODE NOT FOUND"))</f>
        <v/>
      </c>
      <c r="L649" s="31" t="str">
        <f t="shared" si="30"/>
        <v/>
      </c>
      <c r="M649" s="31" t="str">
        <f>IF(OR(J649="",C649&lt;&gt;"League",L649&lt;&gt;"VALID"),"",COUNTIFS($J$6:J649,J649,$G$6:G649,G649,$C$6:C649,"League"))</f>
        <v/>
      </c>
      <c r="N649" s="31" t="str">
        <f t="shared" si="31"/>
        <v/>
      </c>
      <c r="O649" s="37" t="str">
        <f t="shared" si="32"/>
        <v/>
      </c>
    </row>
    <row r="650" spans="1:15" ht="15">
      <c r="A650" s="30">
        <v>134</v>
      </c>
      <c r="B650" s="31" t="s">
        <v>503</v>
      </c>
      <c r="C650" s="31" t="s">
        <v>473</v>
      </c>
      <c r="D650" s="31" t="s">
        <v>471</v>
      </c>
      <c r="E650" s="31" t="s">
        <v>475</v>
      </c>
      <c r="F650" s="31" t="str">
        <f>IF(H650=1,INDEX('Match Results'!$G$6:$G$185,MATCH(A650,'Match Results'!$A$6:$A$185,0)),INDEX('Match Results'!$H$6:$H$185,MATCH(A650,'Match Results'!$A$6:$A$185,0)))</f>
        <v>B4</v>
      </c>
      <c r="G650" s="31" t="str">
        <f>IF(H650=1,INDEX('Match Results'!$H$6:$H$185,MATCH(A650,'Match Results'!$A$6:$A$185,0)),INDEX('Match Results'!$G$6:$G$185,MATCH(A650,'Match Results'!$A$6:$A$185,0)))</f>
        <v>B1</v>
      </c>
      <c r="H650" s="31">
        <v>2</v>
      </c>
      <c r="I650" s="31">
        <v>3</v>
      </c>
      <c r="J650" s="32"/>
      <c r="K650" s="31" t="str">
        <f>IF(J650="","",IFERROR(INDEX('Team Rosters'!$C$6:$C$205,MATCH(J650,'Team Rosters'!$B$6:$B$205,0)),"CODE NOT FOUND"))</f>
        <v/>
      </c>
      <c r="L650" s="31" t="str">
        <f t="shared" si="30"/>
        <v/>
      </c>
      <c r="M650" s="31" t="str">
        <f>IF(OR(J650="",C650&lt;&gt;"League",L650&lt;&gt;"VALID"),"",COUNTIFS($J$6:J650,J650,$G$6:G650,G650,$C$6:C650,"League"))</f>
        <v/>
      </c>
      <c r="N650" s="31" t="str">
        <f t="shared" si="31"/>
        <v/>
      </c>
      <c r="O650" s="37" t="str">
        <f t="shared" si="32"/>
        <v/>
      </c>
    </row>
    <row r="651" spans="1:15" ht="15">
      <c r="A651" s="30">
        <v>134</v>
      </c>
      <c r="B651" s="31" t="s">
        <v>503</v>
      </c>
      <c r="C651" s="31" t="s">
        <v>473</v>
      </c>
      <c r="D651" s="31" t="s">
        <v>471</v>
      </c>
      <c r="E651" s="31" t="s">
        <v>475</v>
      </c>
      <c r="F651" s="31" t="str">
        <f>IF(H651=1,INDEX('Match Results'!$G$6:$G$185,MATCH(A651,'Match Results'!$A$6:$A$185,0)),INDEX('Match Results'!$H$6:$H$185,MATCH(A651,'Match Results'!$A$6:$A$185,0)))</f>
        <v>B4</v>
      </c>
      <c r="G651" s="31" t="str">
        <f>IF(H651=1,INDEX('Match Results'!$H$6:$H$185,MATCH(A651,'Match Results'!$A$6:$A$185,0)),INDEX('Match Results'!$G$6:$G$185,MATCH(A651,'Match Results'!$A$6:$A$185,0)))</f>
        <v>B1</v>
      </c>
      <c r="H651" s="31">
        <v>2</v>
      </c>
      <c r="I651" s="31">
        <v>4</v>
      </c>
      <c r="J651" s="32"/>
      <c r="K651" s="31" t="str">
        <f>IF(J651="","",IFERROR(INDEX('Team Rosters'!$C$6:$C$205,MATCH(J651,'Team Rosters'!$B$6:$B$205,0)),"CODE NOT FOUND"))</f>
        <v/>
      </c>
      <c r="L651" s="31" t="str">
        <f t="shared" si="30"/>
        <v/>
      </c>
      <c r="M651" s="31" t="str">
        <f>IF(OR(J651="",C651&lt;&gt;"League",L651&lt;&gt;"VALID"),"",COUNTIFS($J$6:J651,J651,$G$6:G651,G651,$C$6:C651,"League"))</f>
        <v/>
      </c>
      <c r="N651" s="31" t="str">
        <f t="shared" si="31"/>
        <v/>
      </c>
      <c r="O651" s="37" t="str">
        <f t="shared" si="32"/>
        <v/>
      </c>
    </row>
    <row r="652" spans="1:15" ht="15">
      <c r="A652" s="30">
        <v>135</v>
      </c>
      <c r="B652" s="31" t="s">
        <v>503</v>
      </c>
      <c r="C652" s="31" t="s">
        <v>473</v>
      </c>
      <c r="D652" s="31" t="s">
        <v>471</v>
      </c>
      <c r="E652" s="31" t="s">
        <v>477</v>
      </c>
      <c r="F652" s="31" t="str">
        <f>IF(H652=1,INDEX('Match Results'!$G$6:$G$185,MATCH(A652,'Match Results'!$A$6:$A$185,0)),INDEX('Match Results'!$H$6:$H$185,MATCH(A652,'Match Results'!$A$6:$A$185,0)))</f>
        <v>B2</v>
      </c>
      <c r="G652" s="31" t="str">
        <f>IF(H652=1,INDEX('Match Results'!$H$6:$H$185,MATCH(A652,'Match Results'!$A$6:$A$185,0)),INDEX('Match Results'!$G$6:$G$185,MATCH(A652,'Match Results'!$A$6:$A$185,0)))</f>
        <v>B3</v>
      </c>
      <c r="H652" s="31">
        <v>1</v>
      </c>
      <c r="I652" s="31">
        <v>1</v>
      </c>
      <c r="J652" s="32"/>
      <c r="K652" s="31" t="str">
        <f>IF(J652="","",IFERROR(INDEX('Team Rosters'!$C$6:$C$205,MATCH(J652,'Team Rosters'!$B$6:$B$205,0)),"CODE NOT FOUND"))</f>
        <v/>
      </c>
      <c r="L652" s="31" t="str">
        <f t="shared" si="30"/>
        <v/>
      </c>
      <c r="M652" s="31" t="str">
        <f>IF(OR(J652="",C652&lt;&gt;"League",L652&lt;&gt;"VALID"),"",COUNTIFS($J$6:J652,J652,$G$6:G652,G652,$C$6:C652,"League"))</f>
        <v/>
      </c>
      <c r="N652" s="31" t="str">
        <f t="shared" si="31"/>
        <v/>
      </c>
      <c r="O652" s="37" t="str">
        <f t="shared" si="32"/>
        <v/>
      </c>
    </row>
    <row r="653" spans="1:15" ht="15">
      <c r="A653" s="30">
        <v>135</v>
      </c>
      <c r="B653" s="31" t="s">
        <v>503</v>
      </c>
      <c r="C653" s="31" t="s">
        <v>473</v>
      </c>
      <c r="D653" s="31" t="s">
        <v>471</v>
      </c>
      <c r="E653" s="31" t="s">
        <v>477</v>
      </c>
      <c r="F653" s="31" t="str">
        <f>IF(H653=1,INDEX('Match Results'!$G$6:$G$185,MATCH(A653,'Match Results'!$A$6:$A$185,0)),INDEX('Match Results'!$H$6:$H$185,MATCH(A653,'Match Results'!$A$6:$A$185,0)))</f>
        <v>B2</v>
      </c>
      <c r="G653" s="31" t="str">
        <f>IF(H653=1,INDEX('Match Results'!$H$6:$H$185,MATCH(A653,'Match Results'!$A$6:$A$185,0)),INDEX('Match Results'!$G$6:$G$185,MATCH(A653,'Match Results'!$A$6:$A$185,0)))</f>
        <v>B3</v>
      </c>
      <c r="H653" s="31">
        <v>1</v>
      </c>
      <c r="I653" s="31">
        <v>2</v>
      </c>
      <c r="J653" s="32"/>
      <c r="K653" s="31" t="str">
        <f>IF(J653="","",IFERROR(INDEX('Team Rosters'!$C$6:$C$205,MATCH(J653,'Team Rosters'!$B$6:$B$205,0)),"CODE NOT FOUND"))</f>
        <v/>
      </c>
      <c r="L653" s="31" t="str">
        <f t="shared" si="30"/>
        <v/>
      </c>
      <c r="M653" s="31" t="str">
        <f>IF(OR(J653="",C653&lt;&gt;"League",L653&lt;&gt;"VALID"),"",COUNTIFS($J$6:J653,J653,$G$6:G653,G653,$C$6:C653,"League"))</f>
        <v/>
      </c>
      <c r="N653" s="31" t="str">
        <f t="shared" si="31"/>
        <v/>
      </c>
      <c r="O653" s="37" t="str">
        <f t="shared" si="32"/>
        <v/>
      </c>
    </row>
    <row r="654" spans="1:15" ht="15">
      <c r="A654" s="30">
        <v>135</v>
      </c>
      <c r="B654" s="31" t="s">
        <v>503</v>
      </c>
      <c r="C654" s="31" t="s">
        <v>473</v>
      </c>
      <c r="D654" s="31" t="s">
        <v>471</v>
      </c>
      <c r="E654" s="31" t="s">
        <v>477</v>
      </c>
      <c r="F654" s="31" t="str">
        <f>IF(H654=1,INDEX('Match Results'!$G$6:$G$185,MATCH(A654,'Match Results'!$A$6:$A$185,0)),INDEX('Match Results'!$H$6:$H$185,MATCH(A654,'Match Results'!$A$6:$A$185,0)))</f>
        <v>B3</v>
      </c>
      <c r="G654" s="31" t="str">
        <f>IF(H654=1,INDEX('Match Results'!$H$6:$H$185,MATCH(A654,'Match Results'!$A$6:$A$185,0)),INDEX('Match Results'!$G$6:$G$185,MATCH(A654,'Match Results'!$A$6:$A$185,0)))</f>
        <v>B2</v>
      </c>
      <c r="H654" s="31">
        <v>2</v>
      </c>
      <c r="I654" s="31">
        <v>3</v>
      </c>
      <c r="J654" s="32"/>
      <c r="K654" s="31" t="str">
        <f>IF(J654="","",IFERROR(INDEX('Team Rosters'!$C$6:$C$205,MATCH(J654,'Team Rosters'!$B$6:$B$205,0)),"CODE NOT FOUND"))</f>
        <v/>
      </c>
      <c r="L654" s="31" t="str">
        <f t="shared" si="30"/>
        <v/>
      </c>
      <c r="M654" s="31" t="str">
        <f>IF(OR(J654="",C654&lt;&gt;"League",L654&lt;&gt;"VALID"),"",COUNTIFS($J$6:J654,J654,$G$6:G654,G654,$C$6:C654,"League"))</f>
        <v/>
      </c>
      <c r="N654" s="31" t="str">
        <f t="shared" si="31"/>
        <v/>
      </c>
      <c r="O654" s="37" t="str">
        <f t="shared" si="32"/>
        <v/>
      </c>
    </row>
    <row r="655" spans="1:15" ht="15">
      <c r="A655" s="30">
        <v>135</v>
      </c>
      <c r="B655" s="31" t="s">
        <v>503</v>
      </c>
      <c r="C655" s="31" t="s">
        <v>473</v>
      </c>
      <c r="D655" s="31" t="s">
        <v>471</v>
      </c>
      <c r="E655" s="31" t="s">
        <v>477</v>
      </c>
      <c r="F655" s="31" t="str">
        <f>IF(H655=1,INDEX('Match Results'!$G$6:$G$185,MATCH(A655,'Match Results'!$A$6:$A$185,0)),INDEX('Match Results'!$H$6:$H$185,MATCH(A655,'Match Results'!$A$6:$A$185,0)))</f>
        <v>B3</v>
      </c>
      <c r="G655" s="31" t="str">
        <f>IF(H655=1,INDEX('Match Results'!$H$6:$H$185,MATCH(A655,'Match Results'!$A$6:$A$185,0)),INDEX('Match Results'!$G$6:$G$185,MATCH(A655,'Match Results'!$A$6:$A$185,0)))</f>
        <v>B2</v>
      </c>
      <c r="H655" s="31">
        <v>2</v>
      </c>
      <c r="I655" s="31">
        <v>4</v>
      </c>
      <c r="J655" s="32"/>
      <c r="K655" s="31" t="str">
        <f>IF(J655="","",IFERROR(INDEX('Team Rosters'!$C$6:$C$205,MATCH(J655,'Team Rosters'!$B$6:$B$205,0)),"CODE NOT FOUND"))</f>
        <v/>
      </c>
      <c r="L655" s="31" t="str">
        <f t="shared" si="30"/>
        <v/>
      </c>
      <c r="M655" s="31" t="str">
        <f>IF(OR(J655="",C655&lt;&gt;"League",L655&lt;&gt;"VALID"),"",COUNTIFS($J$6:J655,J655,$G$6:G655,G655,$C$6:C655,"League"))</f>
        <v/>
      </c>
      <c r="N655" s="31" t="str">
        <f t="shared" si="31"/>
        <v/>
      </c>
      <c r="O655" s="37" t="str">
        <f t="shared" si="32"/>
        <v/>
      </c>
    </row>
    <row r="656" spans="1:15" ht="15">
      <c r="A656" s="30">
        <v>136</v>
      </c>
      <c r="B656" s="31" t="s">
        <v>503</v>
      </c>
      <c r="C656" s="31" t="s">
        <v>473</v>
      </c>
      <c r="D656" s="31" t="s">
        <v>479</v>
      </c>
      <c r="E656" s="31" t="s">
        <v>472</v>
      </c>
      <c r="F656" s="31" t="str">
        <f>IF(H656=1,INDEX('Match Results'!$G$6:$G$185,MATCH(A656,'Match Results'!$A$6:$A$185,0)),INDEX('Match Results'!$H$6:$H$185,MATCH(A656,'Match Results'!$A$6:$A$185,0)))</f>
        <v>A1</v>
      </c>
      <c r="G656" s="31" t="str">
        <f>IF(H656=1,INDEX('Match Results'!$H$6:$H$185,MATCH(A656,'Match Results'!$A$6:$A$185,0)),INDEX('Match Results'!$G$6:$G$185,MATCH(A656,'Match Results'!$A$6:$A$185,0)))</f>
        <v>A4</v>
      </c>
      <c r="H656" s="31">
        <v>1</v>
      </c>
      <c r="I656" s="31">
        <v>1</v>
      </c>
      <c r="J656" s="32"/>
      <c r="K656" s="31" t="str">
        <f>IF(J656="","",IFERROR(INDEX('Team Rosters'!$C$6:$C$205,MATCH(J656,'Team Rosters'!$B$6:$B$205,0)),"CODE NOT FOUND"))</f>
        <v/>
      </c>
      <c r="L656" s="31" t="str">
        <f t="shared" si="30"/>
        <v/>
      </c>
      <c r="M656" s="31" t="str">
        <f>IF(OR(J656="",C656&lt;&gt;"League",L656&lt;&gt;"VALID"),"",COUNTIFS($J$6:J656,J656,$G$6:G656,G656,$C$6:C656,"League"))</f>
        <v/>
      </c>
      <c r="N656" s="31" t="str">
        <f t="shared" si="31"/>
        <v/>
      </c>
      <c r="O656" s="37" t="str">
        <f t="shared" si="32"/>
        <v/>
      </c>
    </row>
    <row r="657" spans="1:15" ht="15">
      <c r="A657" s="30">
        <v>136</v>
      </c>
      <c r="B657" s="31" t="s">
        <v>503</v>
      </c>
      <c r="C657" s="31" t="s">
        <v>473</v>
      </c>
      <c r="D657" s="31" t="s">
        <v>479</v>
      </c>
      <c r="E657" s="31" t="s">
        <v>472</v>
      </c>
      <c r="F657" s="31" t="str">
        <f>IF(H657=1,INDEX('Match Results'!$G$6:$G$185,MATCH(A657,'Match Results'!$A$6:$A$185,0)),INDEX('Match Results'!$H$6:$H$185,MATCH(A657,'Match Results'!$A$6:$A$185,0)))</f>
        <v>A1</v>
      </c>
      <c r="G657" s="31" t="str">
        <f>IF(H657=1,INDEX('Match Results'!$H$6:$H$185,MATCH(A657,'Match Results'!$A$6:$A$185,0)),INDEX('Match Results'!$G$6:$G$185,MATCH(A657,'Match Results'!$A$6:$A$185,0)))</f>
        <v>A4</v>
      </c>
      <c r="H657" s="31">
        <v>1</v>
      </c>
      <c r="I657" s="31">
        <v>2</v>
      </c>
      <c r="J657" s="32"/>
      <c r="K657" s="31" t="str">
        <f>IF(J657="","",IFERROR(INDEX('Team Rosters'!$C$6:$C$205,MATCH(J657,'Team Rosters'!$B$6:$B$205,0)),"CODE NOT FOUND"))</f>
        <v/>
      </c>
      <c r="L657" s="31" t="str">
        <f t="shared" si="30"/>
        <v/>
      </c>
      <c r="M657" s="31" t="str">
        <f>IF(OR(J657="",C657&lt;&gt;"League",L657&lt;&gt;"VALID"),"",COUNTIFS($J$6:J657,J657,$G$6:G657,G657,$C$6:C657,"League"))</f>
        <v/>
      </c>
      <c r="N657" s="31" t="str">
        <f t="shared" si="31"/>
        <v/>
      </c>
      <c r="O657" s="37" t="str">
        <f t="shared" si="32"/>
        <v/>
      </c>
    </row>
    <row r="658" spans="1:15" ht="15">
      <c r="A658" s="30">
        <v>136</v>
      </c>
      <c r="B658" s="31" t="s">
        <v>503</v>
      </c>
      <c r="C658" s="31" t="s">
        <v>473</v>
      </c>
      <c r="D658" s="31" t="s">
        <v>479</v>
      </c>
      <c r="E658" s="31" t="s">
        <v>472</v>
      </c>
      <c r="F658" s="31" t="str">
        <f>IF(H658=1,INDEX('Match Results'!$G$6:$G$185,MATCH(A658,'Match Results'!$A$6:$A$185,0)),INDEX('Match Results'!$H$6:$H$185,MATCH(A658,'Match Results'!$A$6:$A$185,0)))</f>
        <v>A4</v>
      </c>
      <c r="G658" s="31" t="str">
        <f>IF(H658=1,INDEX('Match Results'!$H$6:$H$185,MATCH(A658,'Match Results'!$A$6:$A$185,0)),INDEX('Match Results'!$G$6:$G$185,MATCH(A658,'Match Results'!$A$6:$A$185,0)))</f>
        <v>A1</v>
      </c>
      <c r="H658" s="31">
        <v>2</v>
      </c>
      <c r="I658" s="31">
        <v>3</v>
      </c>
      <c r="J658" s="32"/>
      <c r="K658" s="31" t="str">
        <f>IF(J658="","",IFERROR(INDEX('Team Rosters'!$C$6:$C$205,MATCH(J658,'Team Rosters'!$B$6:$B$205,0)),"CODE NOT FOUND"))</f>
        <v/>
      </c>
      <c r="L658" s="31" t="str">
        <f t="shared" si="30"/>
        <v/>
      </c>
      <c r="M658" s="31" t="str">
        <f>IF(OR(J658="",C658&lt;&gt;"League",L658&lt;&gt;"VALID"),"",COUNTIFS($J$6:J658,J658,$G$6:G658,G658,$C$6:C658,"League"))</f>
        <v/>
      </c>
      <c r="N658" s="31" t="str">
        <f t="shared" si="31"/>
        <v/>
      </c>
      <c r="O658" s="37" t="str">
        <f t="shared" si="32"/>
        <v/>
      </c>
    </row>
    <row r="659" spans="1:15" ht="15">
      <c r="A659" s="30">
        <v>136</v>
      </c>
      <c r="B659" s="31" t="s">
        <v>503</v>
      </c>
      <c r="C659" s="31" t="s">
        <v>473</v>
      </c>
      <c r="D659" s="31" t="s">
        <v>479</v>
      </c>
      <c r="E659" s="31" t="s">
        <v>472</v>
      </c>
      <c r="F659" s="31" t="str">
        <f>IF(H659=1,INDEX('Match Results'!$G$6:$G$185,MATCH(A659,'Match Results'!$A$6:$A$185,0)),INDEX('Match Results'!$H$6:$H$185,MATCH(A659,'Match Results'!$A$6:$A$185,0)))</f>
        <v>A4</v>
      </c>
      <c r="G659" s="31" t="str">
        <f>IF(H659=1,INDEX('Match Results'!$H$6:$H$185,MATCH(A659,'Match Results'!$A$6:$A$185,0)),INDEX('Match Results'!$G$6:$G$185,MATCH(A659,'Match Results'!$A$6:$A$185,0)))</f>
        <v>A1</v>
      </c>
      <c r="H659" s="31">
        <v>2</v>
      </c>
      <c r="I659" s="31">
        <v>4</v>
      </c>
      <c r="J659" s="32"/>
      <c r="K659" s="31" t="str">
        <f>IF(J659="","",IFERROR(INDEX('Team Rosters'!$C$6:$C$205,MATCH(J659,'Team Rosters'!$B$6:$B$205,0)),"CODE NOT FOUND"))</f>
        <v/>
      </c>
      <c r="L659" s="31" t="str">
        <f t="shared" si="30"/>
        <v/>
      </c>
      <c r="M659" s="31" t="str">
        <f>IF(OR(J659="",C659&lt;&gt;"League",L659&lt;&gt;"VALID"),"",COUNTIFS($J$6:J659,J659,$G$6:G659,G659,$C$6:C659,"League"))</f>
        <v/>
      </c>
      <c r="N659" s="31" t="str">
        <f t="shared" si="31"/>
        <v/>
      </c>
      <c r="O659" s="37" t="str">
        <f t="shared" si="32"/>
        <v/>
      </c>
    </row>
    <row r="660" spans="1:15" ht="15">
      <c r="A660" s="30">
        <v>137</v>
      </c>
      <c r="B660" s="31" t="s">
        <v>503</v>
      </c>
      <c r="C660" s="31" t="s">
        <v>473</v>
      </c>
      <c r="D660" s="31" t="s">
        <v>479</v>
      </c>
      <c r="E660" s="31" t="s">
        <v>475</v>
      </c>
      <c r="F660" s="31" t="str">
        <f>IF(H660=1,INDEX('Match Results'!$G$6:$G$185,MATCH(A660,'Match Results'!$A$6:$A$185,0)),INDEX('Match Results'!$H$6:$H$185,MATCH(A660,'Match Results'!$A$6:$A$185,0)))</f>
        <v>A2</v>
      </c>
      <c r="G660" s="31" t="str">
        <f>IF(H660=1,INDEX('Match Results'!$H$6:$H$185,MATCH(A660,'Match Results'!$A$6:$A$185,0)),INDEX('Match Results'!$G$6:$G$185,MATCH(A660,'Match Results'!$A$6:$A$185,0)))</f>
        <v>A3</v>
      </c>
      <c r="H660" s="31">
        <v>1</v>
      </c>
      <c r="I660" s="31">
        <v>1</v>
      </c>
      <c r="J660" s="32"/>
      <c r="K660" s="31" t="str">
        <f>IF(J660="","",IFERROR(INDEX('Team Rosters'!$C$6:$C$205,MATCH(J660,'Team Rosters'!$B$6:$B$205,0)),"CODE NOT FOUND"))</f>
        <v/>
      </c>
      <c r="L660" s="31" t="str">
        <f t="shared" si="30"/>
        <v/>
      </c>
      <c r="M660" s="31" t="str">
        <f>IF(OR(J660="",C660&lt;&gt;"League",L660&lt;&gt;"VALID"),"",COUNTIFS($J$6:J660,J660,$G$6:G660,G660,$C$6:C660,"League"))</f>
        <v/>
      </c>
      <c r="N660" s="31" t="str">
        <f t="shared" si="31"/>
        <v/>
      </c>
      <c r="O660" s="37" t="str">
        <f t="shared" si="32"/>
        <v/>
      </c>
    </row>
    <row r="661" spans="1:15" ht="15">
      <c r="A661" s="30">
        <v>137</v>
      </c>
      <c r="B661" s="31" t="s">
        <v>503</v>
      </c>
      <c r="C661" s="31" t="s">
        <v>473</v>
      </c>
      <c r="D661" s="31" t="s">
        <v>479</v>
      </c>
      <c r="E661" s="31" t="s">
        <v>475</v>
      </c>
      <c r="F661" s="31" t="str">
        <f>IF(H661=1,INDEX('Match Results'!$G$6:$G$185,MATCH(A661,'Match Results'!$A$6:$A$185,0)),INDEX('Match Results'!$H$6:$H$185,MATCH(A661,'Match Results'!$A$6:$A$185,0)))</f>
        <v>A2</v>
      </c>
      <c r="G661" s="31" t="str">
        <f>IF(H661=1,INDEX('Match Results'!$H$6:$H$185,MATCH(A661,'Match Results'!$A$6:$A$185,0)),INDEX('Match Results'!$G$6:$G$185,MATCH(A661,'Match Results'!$A$6:$A$185,0)))</f>
        <v>A3</v>
      </c>
      <c r="H661" s="31">
        <v>1</v>
      </c>
      <c r="I661" s="31">
        <v>2</v>
      </c>
      <c r="J661" s="32"/>
      <c r="K661" s="31" t="str">
        <f>IF(J661="","",IFERROR(INDEX('Team Rosters'!$C$6:$C$205,MATCH(J661,'Team Rosters'!$B$6:$B$205,0)),"CODE NOT FOUND"))</f>
        <v/>
      </c>
      <c r="L661" s="31" t="str">
        <f t="shared" si="30"/>
        <v/>
      </c>
      <c r="M661" s="31" t="str">
        <f>IF(OR(J661="",C661&lt;&gt;"League",L661&lt;&gt;"VALID"),"",COUNTIFS($J$6:J661,J661,$G$6:G661,G661,$C$6:C661,"League"))</f>
        <v/>
      </c>
      <c r="N661" s="31" t="str">
        <f t="shared" si="31"/>
        <v/>
      </c>
      <c r="O661" s="37" t="str">
        <f t="shared" si="32"/>
        <v/>
      </c>
    </row>
    <row r="662" spans="1:15" ht="15">
      <c r="A662" s="30">
        <v>137</v>
      </c>
      <c r="B662" s="31" t="s">
        <v>503</v>
      </c>
      <c r="C662" s="31" t="s">
        <v>473</v>
      </c>
      <c r="D662" s="31" t="s">
        <v>479</v>
      </c>
      <c r="E662" s="31" t="s">
        <v>475</v>
      </c>
      <c r="F662" s="31" t="str">
        <f>IF(H662=1,INDEX('Match Results'!$G$6:$G$185,MATCH(A662,'Match Results'!$A$6:$A$185,0)),INDEX('Match Results'!$H$6:$H$185,MATCH(A662,'Match Results'!$A$6:$A$185,0)))</f>
        <v>A3</v>
      </c>
      <c r="G662" s="31" t="str">
        <f>IF(H662=1,INDEX('Match Results'!$H$6:$H$185,MATCH(A662,'Match Results'!$A$6:$A$185,0)),INDEX('Match Results'!$G$6:$G$185,MATCH(A662,'Match Results'!$A$6:$A$185,0)))</f>
        <v>A2</v>
      </c>
      <c r="H662" s="31">
        <v>2</v>
      </c>
      <c r="I662" s="31">
        <v>3</v>
      </c>
      <c r="J662" s="32"/>
      <c r="K662" s="31" t="str">
        <f>IF(J662="","",IFERROR(INDEX('Team Rosters'!$C$6:$C$205,MATCH(J662,'Team Rosters'!$B$6:$B$205,0)),"CODE NOT FOUND"))</f>
        <v/>
      </c>
      <c r="L662" s="31" t="str">
        <f t="shared" si="30"/>
        <v/>
      </c>
      <c r="M662" s="31" t="str">
        <f>IF(OR(J662="",C662&lt;&gt;"League",L662&lt;&gt;"VALID"),"",COUNTIFS($J$6:J662,J662,$G$6:G662,G662,$C$6:C662,"League"))</f>
        <v/>
      </c>
      <c r="N662" s="31" t="str">
        <f t="shared" si="31"/>
        <v/>
      </c>
      <c r="O662" s="37" t="str">
        <f t="shared" si="32"/>
        <v/>
      </c>
    </row>
    <row r="663" spans="1:15" ht="15">
      <c r="A663" s="30">
        <v>137</v>
      </c>
      <c r="B663" s="31" t="s">
        <v>503</v>
      </c>
      <c r="C663" s="31" t="s">
        <v>473</v>
      </c>
      <c r="D663" s="31" t="s">
        <v>479</v>
      </c>
      <c r="E663" s="31" t="s">
        <v>475</v>
      </c>
      <c r="F663" s="31" t="str">
        <f>IF(H663=1,INDEX('Match Results'!$G$6:$G$185,MATCH(A663,'Match Results'!$A$6:$A$185,0)),INDEX('Match Results'!$H$6:$H$185,MATCH(A663,'Match Results'!$A$6:$A$185,0)))</f>
        <v>A3</v>
      </c>
      <c r="G663" s="31" t="str">
        <f>IF(H663=1,INDEX('Match Results'!$H$6:$H$185,MATCH(A663,'Match Results'!$A$6:$A$185,0)),INDEX('Match Results'!$G$6:$G$185,MATCH(A663,'Match Results'!$A$6:$A$185,0)))</f>
        <v>A2</v>
      </c>
      <c r="H663" s="31">
        <v>2</v>
      </c>
      <c r="I663" s="31">
        <v>4</v>
      </c>
      <c r="J663" s="32"/>
      <c r="K663" s="31" t="str">
        <f>IF(J663="","",IFERROR(INDEX('Team Rosters'!$C$6:$C$205,MATCH(J663,'Team Rosters'!$B$6:$B$205,0)),"CODE NOT FOUND"))</f>
        <v/>
      </c>
      <c r="L663" s="31" t="str">
        <f t="shared" si="30"/>
        <v/>
      </c>
      <c r="M663" s="31" t="str">
        <f>IF(OR(J663="",C663&lt;&gt;"League",L663&lt;&gt;"VALID"),"",COUNTIFS($J$6:J663,J663,$G$6:G663,G663,$C$6:C663,"League"))</f>
        <v/>
      </c>
      <c r="N663" s="31" t="str">
        <f t="shared" si="31"/>
        <v/>
      </c>
      <c r="O663" s="37" t="str">
        <f t="shared" si="32"/>
        <v/>
      </c>
    </row>
    <row r="664" spans="1:15" ht="15">
      <c r="A664" s="30">
        <v>138</v>
      </c>
      <c r="B664" s="31" t="s">
        <v>503</v>
      </c>
      <c r="C664" s="31" t="s">
        <v>473</v>
      </c>
      <c r="D664" s="31" t="s">
        <v>479</v>
      </c>
      <c r="E664" s="31" t="s">
        <v>477</v>
      </c>
      <c r="F664" s="31" t="str">
        <f>IF(H664=1,INDEX('Match Results'!$G$6:$G$185,MATCH(A664,'Match Results'!$A$6:$A$185,0)),INDEX('Match Results'!$H$6:$H$185,MATCH(A664,'Match Results'!$A$6:$A$185,0)))</f>
        <v>B1</v>
      </c>
      <c r="G664" s="31" t="str">
        <f>IF(H664=1,INDEX('Match Results'!$H$6:$H$185,MATCH(A664,'Match Results'!$A$6:$A$185,0)),INDEX('Match Results'!$G$6:$G$185,MATCH(A664,'Match Results'!$A$6:$A$185,0)))</f>
        <v>B2</v>
      </c>
      <c r="H664" s="31">
        <v>1</v>
      </c>
      <c r="I664" s="31">
        <v>1</v>
      </c>
      <c r="J664" s="32"/>
      <c r="K664" s="31" t="str">
        <f>IF(J664="","",IFERROR(INDEX('Team Rosters'!$C$6:$C$205,MATCH(J664,'Team Rosters'!$B$6:$B$205,0)),"CODE NOT FOUND"))</f>
        <v/>
      </c>
      <c r="L664" s="31" t="str">
        <f t="shared" si="30"/>
        <v/>
      </c>
      <c r="M664" s="31" t="str">
        <f>IF(OR(J664="",C664&lt;&gt;"League",L664&lt;&gt;"VALID"),"",COUNTIFS($J$6:J664,J664,$G$6:G664,G664,$C$6:C664,"League"))</f>
        <v/>
      </c>
      <c r="N664" s="31" t="str">
        <f t="shared" si="31"/>
        <v/>
      </c>
      <c r="O664" s="37" t="str">
        <f t="shared" si="32"/>
        <v/>
      </c>
    </row>
    <row r="665" spans="1:15" ht="15">
      <c r="A665" s="30">
        <v>138</v>
      </c>
      <c r="B665" s="31" t="s">
        <v>503</v>
      </c>
      <c r="C665" s="31" t="s">
        <v>473</v>
      </c>
      <c r="D665" s="31" t="s">
        <v>479</v>
      </c>
      <c r="E665" s="31" t="s">
        <v>477</v>
      </c>
      <c r="F665" s="31" t="str">
        <f>IF(H665=1,INDEX('Match Results'!$G$6:$G$185,MATCH(A665,'Match Results'!$A$6:$A$185,0)),INDEX('Match Results'!$H$6:$H$185,MATCH(A665,'Match Results'!$A$6:$A$185,0)))</f>
        <v>B1</v>
      </c>
      <c r="G665" s="31" t="str">
        <f>IF(H665=1,INDEX('Match Results'!$H$6:$H$185,MATCH(A665,'Match Results'!$A$6:$A$185,0)),INDEX('Match Results'!$G$6:$G$185,MATCH(A665,'Match Results'!$A$6:$A$185,0)))</f>
        <v>B2</v>
      </c>
      <c r="H665" s="31">
        <v>1</v>
      </c>
      <c r="I665" s="31">
        <v>2</v>
      </c>
      <c r="J665" s="32"/>
      <c r="K665" s="31" t="str">
        <f>IF(J665="","",IFERROR(INDEX('Team Rosters'!$C$6:$C$205,MATCH(J665,'Team Rosters'!$B$6:$B$205,0)),"CODE NOT FOUND"))</f>
        <v/>
      </c>
      <c r="L665" s="31" t="str">
        <f t="shared" si="30"/>
        <v/>
      </c>
      <c r="M665" s="31" t="str">
        <f>IF(OR(J665="",C665&lt;&gt;"League",L665&lt;&gt;"VALID"),"",COUNTIFS($J$6:J665,J665,$G$6:G665,G665,$C$6:C665,"League"))</f>
        <v/>
      </c>
      <c r="N665" s="31" t="str">
        <f t="shared" si="31"/>
        <v/>
      </c>
      <c r="O665" s="37" t="str">
        <f t="shared" si="32"/>
        <v/>
      </c>
    </row>
    <row r="666" spans="1:15" ht="15">
      <c r="A666" s="30">
        <v>138</v>
      </c>
      <c r="B666" s="31" t="s">
        <v>503</v>
      </c>
      <c r="C666" s="31" t="s">
        <v>473</v>
      </c>
      <c r="D666" s="31" t="s">
        <v>479</v>
      </c>
      <c r="E666" s="31" t="s">
        <v>477</v>
      </c>
      <c r="F666" s="31" t="str">
        <f>IF(H666=1,INDEX('Match Results'!$G$6:$G$185,MATCH(A666,'Match Results'!$A$6:$A$185,0)),INDEX('Match Results'!$H$6:$H$185,MATCH(A666,'Match Results'!$A$6:$A$185,0)))</f>
        <v>B2</v>
      </c>
      <c r="G666" s="31" t="str">
        <f>IF(H666=1,INDEX('Match Results'!$H$6:$H$185,MATCH(A666,'Match Results'!$A$6:$A$185,0)),INDEX('Match Results'!$G$6:$G$185,MATCH(A666,'Match Results'!$A$6:$A$185,0)))</f>
        <v>B1</v>
      </c>
      <c r="H666" s="31">
        <v>2</v>
      </c>
      <c r="I666" s="31">
        <v>3</v>
      </c>
      <c r="J666" s="32"/>
      <c r="K666" s="31" t="str">
        <f>IF(J666="","",IFERROR(INDEX('Team Rosters'!$C$6:$C$205,MATCH(J666,'Team Rosters'!$B$6:$B$205,0)),"CODE NOT FOUND"))</f>
        <v/>
      </c>
      <c r="L666" s="31" t="str">
        <f t="shared" si="30"/>
        <v/>
      </c>
      <c r="M666" s="31" t="str">
        <f>IF(OR(J666="",C666&lt;&gt;"League",L666&lt;&gt;"VALID"),"",COUNTIFS($J$6:J666,J666,$G$6:G666,G666,$C$6:C666,"League"))</f>
        <v/>
      </c>
      <c r="N666" s="31" t="str">
        <f t="shared" si="31"/>
        <v/>
      </c>
      <c r="O666" s="37" t="str">
        <f t="shared" si="32"/>
        <v/>
      </c>
    </row>
    <row r="667" spans="1:15" ht="15">
      <c r="A667" s="30">
        <v>138</v>
      </c>
      <c r="B667" s="31" t="s">
        <v>503</v>
      </c>
      <c r="C667" s="31" t="s">
        <v>473</v>
      </c>
      <c r="D667" s="31" t="s">
        <v>479</v>
      </c>
      <c r="E667" s="31" t="s">
        <v>477</v>
      </c>
      <c r="F667" s="31" t="str">
        <f>IF(H667=1,INDEX('Match Results'!$G$6:$G$185,MATCH(A667,'Match Results'!$A$6:$A$185,0)),INDEX('Match Results'!$H$6:$H$185,MATCH(A667,'Match Results'!$A$6:$A$185,0)))</f>
        <v>B2</v>
      </c>
      <c r="G667" s="31" t="str">
        <f>IF(H667=1,INDEX('Match Results'!$H$6:$H$185,MATCH(A667,'Match Results'!$A$6:$A$185,0)),INDEX('Match Results'!$G$6:$G$185,MATCH(A667,'Match Results'!$A$6:$A$185,0)))</f>
        <v>B1</v>
      </c>
      <c r="H667" s="31">
        <v>2</v>
      </c>
      <c r="I667" s="31">
        <v>4</v>
      </c>
      <c r="J667" s="32"/>
      <c r="K667" s="31" t="str">
        <f>IF(J667="","",IFERROR(INDEX('Team Rosters'!$C$6:$C$205,MATCH(J667,'Team Rosters'!$B$6:$B$205,0)),"CODE NOT FOUND"))</f>
        <v/>
      </c>
      <c r="L667" s="31" t="str">
        <f t="shared" si="30"/>
        <v/>
      </c>
      <c r="M667" s="31" t="str">
        <f>IF(OR(J667="",C667&lt;&gt;"League",L667&lt;&gt;"VALID"),"",COUNTIFS($J$6:J667,J667,$G$6:G667,G667,$C$6:C667,"League"))</f>
        <v/>
      </c>
      <c r="N667" s="31" t="str">
        <f t="shared" si="31"/>
        <v/>
      </c>
      <c r="O667" s="37" t="str">
        <f t="shared" si="32"/>
        <v/>
      </c>
    </row>
    <row r="668" spans="1:15" ht="15">
      <c r="A668" s="30">
        <v>139</v>
      </c>
      <c r="B668" s="31" t="s">
        <v>503</v>
      </c>
      <c r="C668" s="31" t="s">
        <v>473</v>
      </c>
      <c r="D668" s="31" t="s">
        <v>483</v>
      </c>
      <c r="E668" s="31" t="s">
        <v>477</v>
      </c>
      <c r="F668" s="31" t="str">
        <f>IF(H668=1,INDEX('Match Results'!$G$6:$G$185,MATCH(A668,'Match Results'!$A$6:$A$185,0)),INDEX('Match Results'!$H$6:$H$185,MATCH(A668,'Match Results'!$A$6:$A$185,0)))</f>
        <v>A2</v>
      </c>
      <c r="G668" s="31" t="str">
        <f>IF(H668=1,INDEX('Match Results'!$H$6:$H$185,MATCH(A668,'Match Results'!$A$6:$A$185,0)),INDEX('Match Results'!$G$6:$G$185,MATCH(A668,'Match Results'!$A$6:$A$185,0)))</f>
        <v>A4</v>
      </c>
      <c r="H668" s="31">
        <v>1</v>
      </c>
      <c r="I668" s="31">
        <v>1</v>
      </c>
      <c r="J668" s="32"/>
      <c r="K668" s="31" t="str">
        <f>IF(J668="","",IFERROR(INDEX('Team Rosters'!$C$6:$C$205,MATCH(J668,'Team Rosters'!$B$6:$B$205,0)),"CODE NOT FOUND"))</f>
        <v/>
      </c>
      <c r="L668" s="31" t="str">
        <f t="shared" si="30"/>
        <v/>
      </c>
      <c r="M668" s="31" t="str">
        <f>IF(OR(J668="",C668&lt;&gt;"League",L668&lt;&gt;"VALID"),"",COUNTIFS($J$6:J668,J668,$G$6:G668,G668,$C$6:C668,"League"))</f>
        <v/>
      </c>
      <c r="N668" s="31" t="str">
        <f t="shared" si="31"/>
        <v/>
      </c>
      <c r="O668" s="37" t="str">
        <f t="shared" si="32"/>
        <v/>
      </c>
    </row>
    <row r="669" spans="1:15" ht="15">
      <c r="A669" s="30">
        <v>139</v>
      </c>
      <c r="B669" s="31" t="s">
        <v>503</v>
      </c>
      <c r="C669" s="31" t="s">
        <v>473</v>
      </c>
      <c r="D669" s="31" t="s">
        <v>483</v>
      </c>
      <c r="E669" s="31" t="s">
        <v>477</v>
      </c>
      <c r="F669" s="31" t="str">
        <f>IF(H669=1,INDEX('Match Results'!$G$6:$G$185,MATCH(A669,'Match Results'!$A$6:$A$185,0)),INDEX('Match Results'!$H$6:$H$185,MATCH(A669,'Match Results'!$A$6:$A$185,0)))</f>
        <v>A2</v>
      </c>
      <c r="G669" s="31" t="str">
        <f>IF(H669=1,INDEX('Match Results'!$H$6:$H$185,MATCH(A669,'Match Results'!$A$6:$A$185,0)),INDEX('Match Results'!$G$6:$G$185,MATCH(A669,'Match Results'!$A$6:$A$185,0)))</f>
        <v>A4</v>
      </c>
      <c r="H669" s="31">
        <v>1</v>
      </c>
      <c r="I669" s="31">
        <v>2</v>
      </c>
      <c r="J669" s="32"/>
      <c r="K669" s="31" t="str">
        <f>IF(J669="","",IFERROR(INDEX('Team Rosters'!$C$6:$C$205,MATCH(J669,'Team Rosters'!$B$6:$B$205,0)),"CODE NOT FOUND"))</f>
        <v/>
      </c>
      <c r="L669" s="31" t="str">
        <f t="shared" si="30"/>
        <v/>
      </c>
      <c r="M669" s="31" t="str">
        <f>IF(OR(J669="",C669&lt;&gt;"League",L669&lt;&gt;"VALID"),"",COUNTIFS($J$6:J669,J669,$G$6:G669,G669,$C$6:C669,"League"))</f>
        <v/>
      </c>
      <c r="N669" s="31" t="str">
        <f t="shared" si="31"/>
        <v/>
      </c>
      <c r="O669" s="37" t="str">
        <f t="shared" si="32"/>
        <v/>
      </c>
    </row>
    <row r="670" spans="1:15" ht="15">
      <c r="A670" s="30">
        <v>139</v>
      </c>
      <c r="B670" s="31" t="s">
        <v>503</v>
      </c>
      <c r="C670" s="31" t="s">
        <v>473</v>
      </c>
      <c r="D670" s="31" t="s">
        <v>483</v>
      </c>
      <c r="E670" s="31" t="s">
        <v>477</v>
      </c>
      <c r="F670" s="31" t="str">
        <f>IF(H670=1,INDEX('Match Results'!$G$6:$G$185,MATCH(A670,'Match Results'!$A$6:$A$185,0)),INDEX('Match Results'!$H$6:$H$185,MATCH(A670,'Match Results'!$A$6:$A$185,0)))</f>
        <v>A4</v>
      </c>
      <c r="G670" s="31" t="str">
        <f>IF(H670=1,INDEX('Match Results'!$H$6:$H$185,MATCH(A670,'Match Results'!$A$6:$A$185,0)),INDEX('Match Results'!$G$6:$G$185,MATCH(A670,'Match Results'!$A$6:$A$185,0)))</f>
        <v>A2</v>
      </c>
      <c r="H670" s="31">
        <v>2</v>
      </c>
      <c r="I670" s="31">
        <v>3</v>
      </c>
      <c r="J670" s="32"/>
      <c r="K670" s="31" t="str">
        <f>IF(J670="","",IFERROR(INDEX('Team Rosters'!$C$6:$C$205,MATCH(J670,'Team Rosters'!$B$6:$B$205,0)),"CODE NOT FOUND"))</f>
        <v/>
      </c>
      <c r="L670" s="31" t="str">
        <f t="shared" si="30"/>
        <v/>
      </c>
      <c r="M670" s="31" t="str">
        <f>IF(OR(J670="",C670&lt;&gt;"League",L670&lt;&gt;"VALID"),"",COUNTIFS($J$6:J670,J670,$G$6:G670,G670,$C$6:C670,"League"))</f>
        <v/>
      </c>
      <c r="N670" s="31" t="str">
        <f t="shared" si="31"/>
        <v/>
      </c>
      <c r="O670" s="37" t="str">
        <f t="shared" si="32"/>
        <v/>
      </c>
    </row>
    <row r="671" spans="1:15" ht="15">
      <c r="A671" s="30">
        <v>139</v>
      </c>
      <c r="B671" s="31" t="s">
        <v>503</v>
      </c>
      <c r="C671" s="31" t="s">
        <v>473</v>
      </c>
      <c r="D671" s="31" t="s">
        <v>483</v>
      </c>
      <c r="E671" s="31" t="s">
        <v>477</v>
      </c>
      <c r="F671" s="31" t="str">
        <f>IF(H671=1,INDEX('Match Results'!$G$6:$G$185,MATCH(A671,'Match Results'!$A$6:$A$185,0)),INDEX('Match Results'!$H$6:$H$185,MATCH(A671,'Match Results'!$A$6:$A$185,0)))</f>
        <v>A4</v>
      </c>
      <c r="G671" s="31" t="str">
        <f>IF(H671=1,INDEX('Match Results'!$H$6:$H$185,MATCH(A671,'Match Results'!$A$6:$A$185,0)),INDEX('Match Results'!$G$6:$G$185,MATCH(A671,'Match Results'!$A$6:$A$185,0)))</f>
        <v>A2</v>
      </c>
      <c r="H671" s="31">
        <v>2</v>
      </c>
      <c r="I671" s="31">
        <v>4</v>
      </c>
      <c r="J671" s="32"/>
      <c r="K671" s="31" t="str">
        <f>IF(J671="","",IFERROR(INDEX('Team Rosters'!$C$6:$C$205,MATCH(J671,'Team Rosters'!$B$6:$B$205,0)),"CODE NOT FOUND"))</f>
        <v/>
      </c>
      <c r="L671" s="31" t="str">
        <f t="shared" si="30"/>
        <v/>
      </c>
      <c r="M671" s="31" t="str">
        <f>IF(OR(J671="",C671&lt;&gt;"League",L671&lt;&gt;"VALID"),"",COUNTIFS($J$6:J671,J671,$G$6:G671,G671,$C$6:C671,"League"))</f>
        <v/>
      </c>
      <c r="N671" s="31" t="str">
        <f t="shared" si="31"/>
        <v/>
      </c>
      <c r="O671" s="37" t="str">
        <f t="shared" si="32"/>
        <v/>
      </c>
    </row>
    <row r="672" spans="1:15" ht="15">
      <c r="A672" s="30">
        <v>140</v>
      </c>
      <c r="B672" s="31" t="s">
        <v>503</v>
      </c>
      <c r="C672" s="31" t="s">
        <v>473</v>
      </c>
      <c r="D672" s="31" t="s">
        <v>483</v>
      </c>
      <c r="E672" s="31" t="s">
        <v>472</v>
      </c>
      <c r="F672" s="31" t="str">
        <f>IF(H672=1,INDEX('Match Results'!$G$6:$G$185,MATCH(A672,'Match Results'!$A$6:$A$185,0)),INDEX('Match Results'!$H$6:$H$185,MATCH(A672,'Match Results'!$A$6:$A$185,0)))</f>
        <v>B3</v>
      </c>
      <c r="G672" s="31" t="str">
        <f>IF(H672=1,INDEX('Match Results'!$H$6:$H$185,MATCH(A672,'Match Results'!$A$6:$A$185,0)),INDEX('Match Results'!$G$6:$G$185,MATCH(A672,'Match Results'!$A$6:$A$185,0)))</f>
        <v>B4</v>
      </c>
      <c r="H672" s="31">
        <v>1</v>
      </c>
      <c r="I672" s="31">
        <v>1</v>
      </c>
      <c r="J672" s="32"/>
      <c r="K672" s="31" t="str">
        <f>IF(J672="","",IFERROR(INDEX('Team Rosters'!$C$6:$C$205,MATCH(J672,'Team Rosters'!$B$6:$B$205,0)),"CODE NOT FOUND"))</f>
        <v/>
      </c>
      <c r="L672" s="31" t="str">
        <f t="shared" si="30"/>
        <v/>
      </c>
      <c r="M672" s="31" t="str">
        <f>IF(OR(J672="",C672&lt;&gt;"League",L672&lt;&gt;"VALID"),"",COUNTIFS($J$6:J672,J672,$G$6:G672,G672,$C$6:C672,"League"))</f>
        <v/>
      </c>
      <c r="N672" s="31" t="str">
        <f t="shared" si="31"/>
        <v/>
      </c>
      <c r="O672" s="37" t="str">
        <f t="shared" si="32"/>
        <v/>
      </c>
    </row>
    <row r="673" spans="1:15" ht="15">
      <c r="A673" s="30">
        <v>140</v>
      </c>
      <c r="B673" s="31" t="s">
        <v>503</v>
      </c>
      <c r="C673" s="31" t="s">
        <v>473</v>
      </c>
      <c r="D673" s="31" t="s">
        <v>483</v>
      </c>
      <c r="E673" s="31" t="s">
        <v>472</v>
      </c>
      <c r="F673" s="31" t="str">
        <f>IF(H673=1,INDEX('Match Results'!$G$6:$G$185,MATCH(A673,'Match Results'!$A$6:$A$185,0)),INDEX('Match Results'!$H$6:$H$185,MATCH(A673,'Match Results'!$A$6:$A$185,0)))</f>
        <v>B3</v>
      </c>
      <c r="G673" s="31" t="str">
        <f>IF(H673=1,INDEX('Match Results'!$H$6:$H$185,MATCH(A673,'Match Results'!$A$6:$A$185,0)),INDEX('Match Results'!$G$6:$G$185,MATCH(A673,'Match Results'!$A$6:$A$185,0)))</f>
        <v>B4</v>
      </c>
      <c r="H673" s="31">
        <v>1</v>
      </c>
      <c r="I673" s="31">
        <v>2</v>
      </c>
      <c r="J673" s="32"/>
      <c r="K673" s="31" t="str">
        <f>IF(J673="","",IFERROR(INDEX('Team Rosters'!$C$6:$C$205,MATCH(J673,'Team Rosters'!$B$6:$B$205,0)),"CODE NOT FOUND"))</f>
        <v/>
      </c>
      <c r="L673" s="31" t="str">
        <f t="shared" si="30"/>
        <v/>
      </c>
      <c r="M673" s="31" t="str">
        <f>IF(OR(J673="",C673&lt;&gt;"League",L673&lt;&gt;"VALID"),"",COUNTIFS($J$6:J673,J673,$G$6:G673,G673,$C$6:C673,"League"))</f>
        <v/>
      </c>
      <c r="N673" s="31" t="str">
        <f t="shared" si="31"/>
        <v/>
      </c>
      <c r="O673" s="37" t="str">
        <f t="shared" si="32"/>
        <v/>
      </c>
    </row>
    <row r="674" spans="1:15" ht="15">
      <c r="A674" s="30">
        <v>140</v>
      </c>
      <c r="B674" s="31" t="s">
        <v>503</v>
      </c>
      <c r="C674" s="31" t="s">
        <v>473</v>
      </c>
      <c r="D674" s="31" t="s">
        <v>483</v>
      </c>
      <c r="E674" s="31" t="s">
        <v>472</v>
      </c>
      <c r="F674" s="31" t="str">
        <f>IF(H674=1,INDEX('Match Results'!$G$6:$G$185,MATCH(A674,'Match Results'!$A$6:$A$185,0)),INDEX('Match Results'!$H$6:$H$185,MATCH(A674,'Match Results'!$A$6:$A$185,0)))</f>
        <v>B4</v>
      </c>
      <c r="G674" s="31" t="str">
        <f>IF(H674=1,INDEX('Match Results'!$H$6:$H$185,MATCH(A674,'Match Results'!$A$6:$A$185,0)),INDEX('Match Results'!$G$6:$G$185,MATCH(A674,'Match Results'!$A$6:$A$185,0)))</f>
        <v>B3</v>
      </c>
      <c r="H674" s="31">
        <v>2</v>
      </c>
      <c r="I674" s="31">
        <v>3</v>
      </c>
      <c r="J674" s="32"/>
      <c r="K674" s="31" t="str">
        <f>IF(J674="","",IFERROR(INDEX('Team Rosters'!$C$6:$C$205,MATCH(J674,'Team Rosters'!$B$6:$B$205,0)),"CODE NOT FOUND"))</f>
        <v/>
      </c>
      <c r="L674" s="31" t="str">
        <f t="shared" si="30"/>
        <v/>
      </c>
      <c r="M674" s="31" t="str">
        <f>IF(OR(J674="",C674&lt;&gt;"League",L674&lt;&gt;"VALID"),"",COUNTIFS($J$6:J674,J674,$G$6:G674,G674,$C$6:C674,"League"))</f>
        <v/>
      </c>
      <c r="N674" s="31" t="str">
        <f t="shared" si="31"/>
        <v/>
      </c>
      <c r="O674" s="37" t="str">
        <f t="shared" si="32"/>
        <v/>
      </c>
    </row>
    <row r="675" spans="1:15" ht="15">
      <c r="A675" s="30">
        <v>140</v>
      </c>
      <c r="B675" s="31" t="s">
        <v>503</v>
      </c>
      <c r="C675" s="31" t="s">
        <v>473</v>
      </c>
      <c r="D675" s="31" t="s">
        <v>483</v>
      </c>
      <c r="E675" s="31" t="s">
        <v>472</v>
      </c>
      <c r="F675" s="31" t="str">
        <f>IF(H675=1,INDEX('Match Results'!$G$6:$G$185,MATCH(A675,'Match Results'!$A$6:$A$185,0)),INDEX('Match Results'!$H$6:$H$185,MATCH(A675,'Match Results'!$A$6:$A$185,0)))</f>
        <v>B4</v>
      </c>
      <c r="G675" s="31" t="str">
        <f>IF(H675=1,INDEX('Match Results'!$H$6:$H$185,MATCH(A675,'Match Results'!$A$6:$A$185,0)),INDEX('Match Results'!$G$6:$G$185,MATCH(A675,'Match Results'!$A$6:$A$185,0)))</f>
        <v>B3</v>
      </c>
      <c r="H675" s="31">
        <v>2</v>
      </c>
      <c r="I675" s="31">
        <v>4</v>
      </c>
      <c r="J675" s="32"/>
      <c r="K675" s="31" t="str">
        <f>IF(J675="","",IFERROR(INDEX('Team Rosters'!$C$6:$C$205,MATCH(J675,'Team Rosters'!$B$6:$B$205,0)),"CODE NOT FOUND"))</f>
        <v/>
      </c>
      <c r="L675" s="31" t="str">
        <f t="shared" si="30"/>
        <v/>
      </c>
      <c r="M675" s="31" t="str">
        <f>IF(OR(J675="",C675&lt;&gt;"League",L675&lt;&gt;"VALID"),"",COUNTIFS($J$6:J675,J675,$G$6:G675,G675,$C$6:C675,"League"))</f>
        <v/>
      </c>
      <c r="N675" s="31" t="str">
        <f t="shared" si="31"/>
        <v/>
      </c>
      <c r="O675" s="37" t="str">
        <f t="shared" si="32"/>
        <v/>
      </c>
    </row>
    <row r="676" spans="1:15" ht="15">
      <c r="A676" s="30">
        <v>141</v>
      </c>
      <c r="B676" s="31" t="s">
        <v>503</v>
      </c>
      <c r="C676" s="31" t="s">
        <v>473</v>
      </c>
      <c r="D676" s="31" t="s">
        <v>486</v>
      </c>
      <c r="E676" s="31" t="s">
        <v>472</v>
      </c>
      <c r="F676" s="31" t="str">
        <f>IF(H676=1,INDEX('Match Results'!$G$6:$G$185,MATCH(A676,'Match Results'!$A$6:$A$185,0)),INDEX('Match Results'!$H$6:$H$185,MATCH(A676,'Match Results'!$A$6:$A$185,0)))</f>
        <v>A1</v>
      </c>
      <c r="G676" s="31" t="str">
        <f>IF(H676=1,INDEX('Match Results'!$H$6:$H$185,MATCH(A676,'Match Results'!$A$6:$A$185,0)),INDEX('Match Results'!$G$6:$G$185,MATCH(A676,'Match Results'!$A$6:$A$185,0)))</f>
        <v>A3</v>
      </c>
      <c r="H676" s="31">
        <v>1</v>
      </c>
      <c r="I676" s="31">
        <v>1</v>
      </c>
      <c r="J676" s="32"/>
      <c r="K676" s="31" t="str">
        <f>IF(J676="","",IFERROR(INDEX('Team Rosters'!$C$6:$C$205,MATCH(J676,'Team Rosters'!$B$6:$B$205,0)),"CODE NOT FOUND"))</f>
        <v/>
      </c>
      <c r="L676" s="31" t="str">
        <f t="shared" si="30"/>
        <v/>
      </c>
      <c r="M676" s="31" t="str">
        <f>IF(OR(J676="",C676&lt;&gt;"League",L676&lt;&gt;"VALID"),"",COUNTIFS($J$6:J676,J676,$G$6:G676,G676,$C$6:C676,"League"))</f>
        <v/>
      </c>
      <c r="N676" s="31" t="str">
        <f t="shared" si="31"/>
        <v/>
      </c>
      <c r="O676" s="37" t="str">
        <f t="shared" si="32"/>
        <v/>
      </c>
    </row>
    <row r="677" spans="1:15" ht="15">
      <c r="A677" s="30">
        <v>141</v>
      </c>
      <c r="B677" s="31" t="s">
        <v>503</v>
      </c>
      <c r="C677" s="31" t="s">
        <v>473</v>
      </c>
      <c r="D677" s="31" t="s">
        <v>486</v>
      </c>
      <c r="E677" s="31" t="s">
        <v>472</v>
      </c>
      <c r="F677" s="31" t="str">
        <f>IF(H677=1,INDEX('Match Results'!$G$6:$G$185,MATCH(A677,'Match Results'!$A$6:$A$185,0)),INDEX('Match Results'!$H$6:$H$185,MATCH(A677,'Match Results'!$A$6:$A$185,0)))</f>
        <v>A1</v>
      </c>
      <c r="G677" s="31" t="str">
        <f>IF(H677=1,INDEX('Match Results'!$H$6:$H$185,MATCH(A677,'Match Results'!$A$6:$A$185,0)),INDEX('Match Results'!$G$6:$G$185,MATCH(A677,'Match Results'!$A$6:$A$185,0)))</f>
        <v>A3</v>
      </c>
      <c r="H677" s="31">
        <v>1</v>
      </c>
      <c r="I677" s="31">
        <v>2</v>
      </c>
      <c r="J677" s="32"/>
      <c r="K677" s="31" t="str">
        <f>IF(J677="","",IFERROR(INDEX('Team Rosters'!$C$6:$C$205,MATCH(J677,'Team Rosters'!$B$6:$B$205,0)),"CODE NOT FOUND"))</f>
        <v/>
      </c>
      <c r="L677" s="31" t="str">
        <f t="shared" si="30"/>
        <v/>
      </c>
      <c r="M677" s="31" t="str">
        <f>IF(OR(J677="",C677&lt;&gt;"League",L677&lt;&gt;"VALID"),"",COUNTIFS($J$6:J677,J677,$G$6:G677,G677,$C$6:C677,"League"))</f>
        <v/>
      </c>
      <c r="N677" s="31" t="str">
        <f t="shared" si="31"/>
        <v/>
      </c>
      <c r="O677" s="37" t="str">
        <f t="shared" si="32"/>
        <v/>
      </c>
    </row>
    <row r="678" spans="1:15" ht="15">
      <c r="A678" s="30">
        <v>141</v>
      </c>
      <c r="B678" s="31" t="s">
        <v>503</v>
      </c>
      <c r="C678" s="31" t="s">
        <v>473</v>
      </c>
      <c r="D678" s="31" t="s">
        <v>486</v>
      </c>
      <c r="E678" s="31" t="s">
        <v>472</v>
      </c>
      <c r="F678" s="31" t="str">
        <f>IF(H678=1,INDEX('Match Results'!$G$6:$G$185,MATCH(A678,'Match Results'!$A$6:$A$185,0)),INDEX('Match Results'!$H$6:$H$185,MATCH(A678,'Match Results'!$A$6:$A$185,0)))</f>
        <v>A3</v>
      </c>
      <c r="G678" s="31" t="str">
        <f>IF(H678=1,INDEX('Match Results'!$H$6:$H$185,MATCH(A678,'Match Results'!$A$6:$A$185,0)),INDEX('Match Results'!$G$6:$G$185,MATCH(A678,'Match Results'!$A$6:$A$185,0)))</f>
        <v>A1</v>
      </c>
      <c r="H678" s="31">
        <v>2</v>
      </c>
      <c r="I678" s="31">
        <v>3</v>
      </c>
      <c r="J678" s="32"/>
      <c r="K678" s="31" t="str">
        <f>IF(J678="","",IFERROR(INDEX('Team Rosters'!$C$6:$C$205,MATCH(J678,'Team Rosters'!$B$6:$B$205,0)),"CODE NOT FOUND"))</f>
        <v/>
      </c>
      <c r="L678" s="31" t="str">
        <f t="shared" si="30"/>
        <v/>
      </c>
      <c r="M678" s="31" t="str">
        <f>IF(OR(J678="",C678&lt;&gt;"League",L678&lt;&gt;"VALID"),"",COUNTIFS($J$6:J678,J678,$G$6:G678,G678,$C$6:C678,"League"))</f>
        <v/>
      </c>
      <c r="N678" s="31" t="str">
        <f t="shared" si="31"/>
        <v/>
      </c>
      <c r="O678" s="37" t="str">
        <f t="shared" si="32"/>
        <v/>
      </c>
    </row>
    <row r="679" spans="1:15" ht="15">
      <c r="A679" s="30">
        <v>141</v>
      </c>
      <c r="B679" s="31" t="s">
        <v>503</v>
      </c>
      <c r="C679" s="31" t="s">
        <v>473</v>
      </c>
      <c r="D679" s="31" t="s">
        <v>486</v>
      </c>
      <c r="E679" s="31" t="s">
        <v>472</v>
      </c>
      <c r="F679" s="31" t="str">
        <f>IF(H679=1,INDEX('Match Results'!$G$6:$G$185,MATCH(A679,'Match Results'!$A$6:$A$185,0)),INDEX('Match Results'!$H$6:$H$185,MATCH(A679,'Match Results'!$A$6:$A$185,0)))</f>
        <v>A3</v>
      </c>
      <c r="G679" s="31" t="str">
        <f>IF(H679=1,INDEX('Match Results'!$H$6:$H$185,MATCH(A679,'Match Results'!$A$6:$A$185,0)),INDEX('Match Results'!$G$6:$G$185,MATCH(A679,'Match Results'!$A$6:$A$185,0)))</f>
        <v>A1</v>
      </c>
      <c r="H679" s="31">
        <v>2</v>
      </c>
      <c r="I679" s="31">
        <v>4</v>
      </c>
      <c r="J679" s="32"/>
      <c r="K679" s="31" t="str">
        <f>IF(J679="","",IFERROR(INDEX('Team Rosters'!$C$6:$C$205,MATCH(J679,'Team Rosters'!$B$6:$B$205,0)),"CODE NOT FOUND"))</f>
        <v/>
      </c>
      <c r="L679" s="31" t="str">
        <f t="shared" si="30"/>
        <v/>
      </c>
      <c r="M679" s="31" t="str">
        <f>IF(OR(J679="",C679&lt;&gt;"League",L679&lt;&gt;"VALID"),"",COUNTIFS($J$6:J679,J679,$G$6:G679,G679,$C$6:C679,"League"))</f>
        <v/>
      </c>
      <c r="N679" s="31" t="str">
        <f t="shared" si="31"/>
        <v/>
      </c>
      <c r="O679" s="37" t="str">
        <f t="shared" si="32"/>
        <v/>
      </c>
    </row>
    <row r="680" spans="1:15" ht="15">
      <c r="A680" s="30">
        <v>142</v>
      </c>
      <c r="B680" s="31" t="s">
        <v>503</v>
      </c>
      <c r="C680" s="31" t="s">
        <v>473</v>
      </c>
      <c r="D680" s="31" t="s">
        <v>486</v>
      </c>
      <c r="E680" s="31" t="s">
        <v>477</v>
      </c>
      <c r="F680" s="31" t="str">
        <f>IF(H680=1,INDEX('Match Results'!$G$6:$G$185,MATCH(A680,'Match Results'!$A$6:$A$185,0)),INDEX('Match Results'!$H$6:$H$185,MATCH(A680,'Match Results'!$A$6:$A$185,0)))</f>
        <v>B1</v>
      </c>
      <c r="G680" s="31" t="str">
        <f>IF(H680=1,INDEX('Match Results'!$H$6:$H$185,MATCH(A680,'Match Results'!$A$6:$A$185,0)),INDEX('Match Results'!$G$6:$G$185,MATCH(A680,'Match Results'!$A$6:$A$185,0)))</f>
        <v>B3</v>
      </c>
      <c r="H680" s="31">
        <v>1</v>
      </c>
      <c r="I680" s="31">
        <v>1</v>
      </c>
      <c r="J680" s="32"/>
      <c r="K680" s="31" t="str">
        <f>IF(J680="","",IFERROR(INDEX('Team Rosters'!$C$6:$C$205,MATCH(J680,'Team Rosters'!$B$6:$B$205,0)),"CODE NOT FOUND"))</f>
        <v/>
      </c>
      <c r="L680" s="31" t="str">
        <f t="shared" si="30"/>
        <v/>
      </c>
      <c r="M680" s="31" t="str">
        <f>IF(OR(J680="",C680&lt;&gt;"League",L680&lt;&gt;"VALID"),"",COUNTIFS($J$6:J680,J680,$G$6:G680,G680,$C$6:C680,"League"))</f>
        <v/>
      </c>
      <c r="N680" s="31" t="str">
        <f t="shared" si="31"/>
        <v/>
      </c>
      <c r="O680" s="37" t="str">
        <f t="shared" si="32"/>
        <v/>
      </c>
    </row>
    <row r="681" spans="1:15" ht="15">
      <c r="A681" s="30">
        <v>142</v>
      </c>
      <c r="B681" s="31" t="s">
        <v>503</v>
      </c>
      <c r="C681" s="31" t="s">
        <v>473</v>
      </c>
      <c r="D681" s="31" t="s">
        <v>486</v>
      </c>
      <c r="E681" s="31" t="s">
        <v>477</v>
      </c>
      <c r="F681" s="31" t="str">
        <f>IF(H681=1,INDEX('Match Results'!$G$6:$G$185,MATCH(A681,'Match Results'!$A$6:$A$185,0)),INDEX('Match Results'!$H$6:$H$185,MATCH(A681,'Match Results'!$A$6:$A$185,0)))</f>
        <v>B1</v>
      </c>
      <c r="G681" s="31" t="str">
        <f>IF(H681=1,INDEX('Match Results'!$H$6:$H$185,MATCH(A681,'Match Results'!$A$6:$A$185,0)),INDEX('Match Results'!$G$6:$G$185,MATCH(A681,'Match Results'!$A$6:$A$185,0)))</f>
        <v>B3</v>
      </c>
      <c r="H681" s="31">
        <v>1</v>
      </c>
      <c r="I681" s="31">
        <v>2</v>
      </c>
      <c r="J681" s="32"/>
      <c r="K681" s="31" t="str">
        <f>IF(J681="","",IFERROR(INDEX('Team Rosters'!$C$6:$C$205,MATCH(J681,'Team Rosters'!$B$6:$B$205,0)),"CODE NOT FOUND"))</f>
        <v/>
      </c>
      <c r="L681" s="31" t="str">
        <f t="shared" si="30"/>
        <v/>
      </c>
      <c r="M681" s="31" t="str">
        <f>IF(OR(J681="",C681&lt;&gt;"League",L681&lt;&gt;"VALID"),"",COUNTIFS($J$6:J681,J681,$G$6:G681,G681,$C$6:C681,"League"))</f>
        <v/>
      </c>
      <c r="N681" s="31" t="str">
        <f t="shared" si="31"/>
        <v/>
      </c>
      <c r="O681" s="37" t="str">
        <f t="shared" si="32"/>
        <v/>
      </c>
    </row>
    <row r="682" spans="1:15" ht="15">
      <c r="A682" s="30">
        <v>142</v>
      </c>
      <c r="B682" s="31" t="s">
        <v>503</v>
      </c>
      <c r="C682" s="31" t="s">
        <v>473</v>
      </c>
      <c r="D682" s="31" t="s">
        <v>486</v>
      </c>
      <c r="E682" s="31" t="s">
        <v>477</v>
      </c>
      <c r="F682" s="31" t="str">
        <f>IF(H682=1,INDEX('Match Results'!$G$6:$G$185,MATCH(A682,'Match Results'!$A$6:$A$185,0)),INDEX('Match Results'!$H$6:$H$185,MATCH(A682,'Match Results'!$A$6:$A$185,0)))</f>
        <v>B3</v>
      </c>
      <c r="G682" s="31" t="str">
        <f>IF(H682=1,INDEX('Match Results'!$H$6:$H$185,MATCH(A682,'Match Results'!$A$6:$A$185,0)),INDEX('Match Results'!$G$6:$G$185,MATCH(A682,'Match Results'!$A$6:$A$185,0)))</f>
        <v>B1</v>
      </c>
      <c r="H682" s="31">
        <v>2</v>
      </c>
      <c r="I682" s="31">
        <v>3</v>
      </c>
      <c r="J682" s="32"/>
      <c r="K682" s="31" t="str">
        <f>IF(J682="","",IFERROR(INDEX('Team Rosters'!$C$6:$C$205,MATCH(J682,'Team Rosters'!$B$6:$B$205,0)),"CODE NOT FOUND"))</f>
        <v/>
      </c>
      <c r="L682" s="31" t="str">
        <f t="shared" si="30"/>
        <v/>
      </c>
      <c r="M682" s="31" t="str">
        <f>IF(OR(J682="",C682&lt;&gt;"League",L682&lt;&gt;"VALID"),"",COUNTIFS($J$6:J682,J682,$G$6:G682,G682,$C$6:C682,"League"))</f>
        <v/>
      </c>
      <c r="N682" s="31" t="str">
        <f t="shared" si="31"/>
        <v/>
      </c>
      <c r="O682" s="37" t="str">
        <f t="shared" si="32"/>
        <v/>
      </c>
    </row>
    <row r="683" spans="1:15" ht="15">
      <c r="A683" s="30">
        <v>142</v>
      </c>
      <c r="B683" s="31" t="s">
        <v>503</v>
      </c>
      <c r="C683" s="31" t="s">
        <v>473</v>
      </c>
      <c r="D683" s="31" t="s">
        <v>486</v>
      </c>
      <c r="E683" s="31" t="s">
        <v>477</v>
      </c>
      <c r="F683" s="31" t="str">
        <f>IF(H683=1,INDEX('Match Results'!$G$6:$G$185,MATCH(A683,'Match Results'!$A$6:$A$185,0)),INDEX('Match Results'!$H$6:$H$185,MATCH(A683,'Match Results'!$A$6:$A$185,0)))</f>
        <v>B3</v>
      </c>
      <c r="G683" s="31" t="str">
        <f>IF(H683=1,INDEX('Match Results'!$H$6:$H$185,MATCH(A683,'Match Results'!$A$6:$A$185,0)),INDEX('Match Results'!$G$6:$G$185,MATCH(A683,'Match Results'!$A$6:$A$185,0)))</f>
        <v>B1</v>
      </c>
      <c r="H683" s="31">
        <v>2</v>
      </c>
      <c r="I683" s="31">
        <v>4</v>
      </c>
      <c r="J683" s="32"/>
      <c r="K683" s="31" t="str">
        <f>IF(J683="","",IFERROR(INDEX('Team Rosters'!$C$6:$C$205,MATCH(J683,'Team Rosters'!$B$6:$B$205,0)),"CODE NOT FOUND"))</f>
        <v/>
      </c>
      <c r="L683" s="31" t="str">
        <f t="shared" si="30"/>
        <v/>
      </c>
      <c r="M683" s="31" t="str">
        <f>IF(OR(J683="",C683&lt;&gt;"League",L683&lt;&gt;"VALID"),"",COUNTIFS($J$6:J683,J683,$G$6:G683,G683,$C$6:C683,"League"))</f>
        <v/>
      </c>
      <c r="N683" s="31" t="str">
        <f t="shared" si="31"/>
        <v/>
      </c>
      <c r="O683" s="37" t="str">
        <f t="shared" si="32"/>
        <v/>
      </c>
    </row>
    <row r="684" spans="1:15" ht="15">
      <c r="A684" s="30">
        <v>143</v>
      </c>
      <c r="B684" s="31" t="s">
        <v>503</v>
      </c>
      <c r="C684" s="31" t="s">
        <v>473</v>
      </c>
      <c r="D684" s="31" t="s">
        <v>486</v>
      </c>
      <c r="E684" s="31" t="s">
        <v>475</v>
      </c>
      <c r="F684" s="31" t="str">
        <f>IF(H684=1,INDEX('Match Results'!$G$6:$G$185,MATCH(A684,'Match Results'!$A$6:$A$185,0)),INDEX('Match Results'!$H$6:$H$185,MATCH(A684,'Match Results'!$A$6:$A$185,0)))</f>
        <v>B2</v>
      </c>
      <c r="G684" s="31" t="str">
        <f>IF(H684=1,INDEX('Match Results'!$H$6:$H$185,MATCH(A684,'Match Results'!$A$6:$A$185,0)),INDEX('Match Results'!$G$6:$G$185,MATCH(A684,'Match Results'!$A$6:$A$185,0)))</f>
        <v>B4</v>
      </c>
      <c r="H684" s="31">
        <v>1</v>
      </c>
      <c r="I684" s="31">
        <v>1</v>
      </c>
      <c r="J684" s="32"/>
      <c r="K684" s="31" t="str">
        <f>IF(J684="","",IFERROR(INDEX('Team Rosters'!$C$6:$C$205,MATCH(J684,'Team Rosters'!$B$6:$B$205,0)),"CODE NOT FOUND"))</f>
        <v/>
      </c>
      <c r="L684" s="31" t="str">
        <f t="shared" si="30"/>
        <v/>
      </c>
      <c r="M684" s="31" t="str">
        <f>IF(OR(J684="",C684&lt;&gt;"League",L684&lt;&gt;"VALID"),"",COUNTIFS($J$6:J684,J684,$G$6:G684,G684,$C$6:C684,"League"))</f>
        <v/>
      </c>
      <c r="N684" s="31" t="str">
        <f t="shared" si="31"/>
        <v/>
      </c>
      <c r="O684" s="37" t="str">
        <f t="shared" si="32"/>
        <v/>
      </c>
    </row>
    <row r="685" spans="1:15" ht="15">
      <c r="A685" s="30">
        <v>143</v>
      </c>
      <c r="B685" s="31" t="s">
        <v>503</v>
      </c>
      <c r="C685" s="31" t="s">
        <v>473</v>
      </c>
      <c r="D685" s="31" t="s">
        <v>486</v>
      </c>
      <c r="E685" s="31" t="s">
        <v>475</v>
      </c>
      <c r="F685" s="31" t="str">
        <f>IF(H685=1,INDEX('Match Results'!$G$6:$G$185,MATCH(A685,'Match Results'!$A$6:$A$185,0)),INDEX('Match Results'!$H$6:$H$185,MATCH(A685,'Match Results'!$A$6:$A$185,0)))</f>
        <v>B2</v>
      </c>
      <c r="G685" s="31" t="str">
        <f>IF(H685=1,INDEX('Match Results'!$H$6:$H$185,MATCH(A685,'Match Results'!$A$6:$A$185,0)),INDEX('Match Results'!$G$6:$G$185,MATCH(A685,'Match Results'!$A$6:$A$185,0)))</f>
        <v>B4</v>
      </c>
      <c r="H685" s="31">
        <v>1</v>
      </c>
      <c r="I685" s="31">
        <v>2</v>
      </c>
      <c r="J685" s="32"/>
      <c r="K685" s="31" t="str">
        <f>IF(J685="","",IFERROR(INDEX('Team Rosters'!$C$6:$C$205,MATCH(J685,'Team Rosters'!$B$6:$B$205,0)),"CODE NOT FOUND"))</f>
        <v/>
      </c>
      <c r="L685" s="31" t="str">
        <f t="shared" si="30"/>
        <v/>
      </c>
      <c r="M685" s="31" t="str">
        <f>IF(OR(J685="",C685&lt;&gt;"League",L685&lt;&gt;"VALID"),"",COUNTIFS($J$6:J685,J685,$G$6:G685,G685,$C$6:C685,"League"))</f>
        <v/>
      </c>
      <c r="N685" s="31" t="str">
        <f t="shared" si="31"/>
        <v/>
      </c>
      <c r="O685" s="37" t="str">
        <f t="shared" si="32"/>
        <v/>
      </c>
    </row>
    <row r="686" spans="1:15" ht="15">
      <c r="A686" s="30">
        <v>143</v>
      </c>
      <c r="B686" s="31" t="s">
        <v>503</v>
      </c>
      <c r="C686" s="31" t="s">
        <v>473</v>
      </c>
      <c r="D686" s="31" t="s">
        <v>486</v>
      </c>
      <c r="E686" s="31" t="s">
        <v>475</v>
      </c>
      <c r="F686" s="31" t="str">
        <f>IF(H686=1,INDEX('Match Results'!$G$6:$G$185,MATCH(A686,'Match Results'!$A$6:$A$185,0)),INDEX('Match Results'!$H$6:$H$185,MATCH(A686,'Match Results'!$A$6:$A$185,0)))</f>
        <v>B4</v>
      </c>
      <c r="G686" s="31" t="str">
        <f>IF(H686=1,INDEX('Match Results'!$H$6:$H$185,MATCH(A686,'Match Results'!$A$6:$A$185,0)),INDEX('Match Results'!$G$6:$G$185,MATCH(A686,'Match Results'!$A$6:$A$185,0)))</f>
        <v>B2</v>
      </c>
      <c r="H686" s="31">
        <v>2</v>
      </c>
      <c r="I686" s="31">
        <v>3</v>
      </c>
      <c r="J686" s="32"/>
      <c r="K686" s="31" t="str">
        <f>IF(J686="","",IFERROR(INDEX('Team Rosters'!$C$6:$C$205,MATCH(J686,'Team Rosters'!$B$6:$B$205,0)),"CODE NOT FOUND"))</f>
        <v/>
      </c>
      <c r="L686" s="31" t="str">
        <f t="shared" si="30"/>
        <v/>
      </c>
      <c r="M686" s="31" t="str">
        <f>IF(OR(J686="",C686&lt;&gt;"League",L686&lt;&gt;"VALID"),"",COUNTIFS($J$6:J686,J686,$G$6:G686,G686,$C$6:C686,"League"))</f>
        <v/>
      </c>
      <c r="N686" s="31" t="str">
        <f t="shared" si="31"/>
        <v/>
      </c>
      <c r="O686" s="37" t="str">
        <f t="shared" si="32"/>
        <v/>
      </c>
    </row>
    <row r="687" spans="1:15" ht="15">
      <c r="A687" s="30">
        <v>143</v>
      </c>
      <c r="B687" s="31" t="s">
        <v>503</v>
      </c>
      <c r="C687" s="31" t="s">
        <v>473</v>
      </c>
      <c r="D687" s="31" t="s">
        <v>486</v>
      </c>
      <c r="E687" s="31" t="s">
        <v>475</v>
      </c>
      <c r="F687" s="31" t="str">
        <f>IF(H687=1,INDEX('Match Results'!$G$6:$G$185,MATCH(A687,'Match Results'!$A$6:$A$185,0)),INDEX('Match Results'!$H$6:$H$185,MATCH(A687,'Match Results'!$A$6:$A$185,0)))</f>
        <v>B4</v>
      </c>
      <c r="G687" s="31" t="str">
        <f>IF(H687=1,INDEX('Match Results'!$H$6:$H$185,MATCH(A687,'Match Results'!$A$6:$A$185,0)),INDEX('Match Results'!$G$6:$G$185,MATCH(A687,'Match Results'!$A$6:$A$185,0)))</f>
        <v>B2</v>
      </c>
      <c r="H687" s="31">
        <v>2</v>
      </c>
      <c r="I687" s="31">
        <v>4</v>
      </c>
      <c r="J687" s="32"/>
      <c r="K687" s="31" t="str">
        <f>IF(J687="","",IFERROR(INDEX('Team Rosters'!$C$6:$C$205,MATCH(J687,'Team Rosters'!$B$6:$B$205,0)),"CODE NOT FOUND"))</f>
        <v/>
      </c>
      <c r="L687" s="31" t="str">
        <f t="shared" si="30"/>
        <v/>
      </c>
      <c r="M687" s="31" t="str">
        <f>IF(OR(J687="",C687&lt;&gt;"League",L687&lt;&gt;"VALID"),"",COUNTIFS($J$6:J687,J687,$G$6:G687,G687,$C$6:C687,"League"))</f>
        <v/>
      </c>
      <c r="N687" s="31" t="str">
        <f t="shared" si="31"/>
        <v/>
      </c>
      <c r="O687" s="37" t="str">
        <f t="shared" si="32"/>
        <v/>
      </c>
    </row>
    <row r="688" spans="1:15" ht="15">
      <c r="A688" s="30">
        <v>144</v>
      </c>
      <c r="B688" s="31" t="s">
        <v>503</v>
      </c>
      <c r="C688" s="31" t="s">
        <v>473</v>
      </c>
      <c r="D688" s="31" t="s">
        <v>490</v>
      </c>
      <c r="E688" s="31" t="s">
        <v>491</v>
      </c>
      <c r="F688" s="31" t="str">
        <f>IF(H688=1,INDEX('Match Results'!$G$6:$G$185,MATCH(A688,'Match Results'!$A$6:$A$185,0)),INDEX('Match Results'!$H$6:$H$185,MATCH(A688,'Match Results'!$A$6:$A$185,0)))</f>
        <v>A1</v>
      </c>
      <c r="G688" s="31" t="str">
        <f>IF(H688=1,INDEX('Match Results'!$H$6:$H$185,MATCH(A688,'Match Results'!$A$6:$A$185,0)),INDEX('Match Results'!$G$6:$G$185,MATCH(A688,'Match Results'!$A$6:$A$185,0)))</f>
        <v>A2</v>
      </c>
      <c r="H688" s="31">
        <v>1</v>
      </c>
      <c r="I688" s="31">
        <v>1</v>
      </c>
      <c r="J688" s="32"/>
      <c r="K688" s="31" t="str">
        <f>IF(J688="","",IFERROR(INDEX('Team Rosters'!$C$6:$C$205,MATCH(J688,'Team Rosters'!$B$6:$B$205,0)),"CODE NOT FOUND"))</f>
        <v/>
      </c>
      <c r="L688" s="31" t="str">
        <f t="shared" si="30"/>
        <v/>
      </c>
      <c r="M688" s="31" t="str">
        <f>IF(OR(J688="",C688&lt;&gt;"League",L688&lt;&gt;"VALID"),"",COUNTIFS($J$6:J688,J688,$G$6:G688,G688,$C$6:C688,"League"))</f>
        <v/>
      </c>
      <c r="N688" s="31" t="str">
        <f t="shared" si="31"/>
        <v/>
      </c>
      <c r="O688" s="37" t="str">
        <f t="shared" si="32"/>
        <v/>
      </c>
    </row>
    <row r="689" spans="1:15" ht="15">
      <c r="A689" s="30">
        <v>144</v>
      </c>
      <c r="B689" s="31" t="s">
        <v>503</v>
      </c>
      <c r="C689" s="31" t="s">
        <v>473</v>
      </c>
      <c r="D689" s="31" t="s">
        <v>490</v>
      </c>
      <c r="E689" s="31" t="s">
        <v>491</v>
      </c>
      <c r="F689" s="31" t="str">
        <f>IF(H689=1,INDEX('Match Results'!$G$6:$G$185,MATCH(A689,'Match Results'!$A$6:$A$185,0)),INDEX('Match Results'!$H$6:$H$185,MATCH(A689,'Match Results'!$A$6:$A$185,0)))</f>
        <v>A1</v>
      </c>
      <c r="G689" s="31" t="str">
        <f>IF(H689=1,INDEX('Match Results'!$H$6:$H$185,MATCH(A689,'Match Results'!$A$6:$A$185,0)),INDEX('Match Results'!$G$6:$G$185,MATCH(A689,'Match Results'!$A$6:$A$185,0)))</f>
        <v>A2</v>
      </c>
      <c r="H689" s="31">
        <v>1</v>
      </c>
      <c r="I689" s="31">
        <v>2</v>
      </c>
      <c r="J689" s="32"/>
      <c r="K689" s="31" t="str">
        <f>IF(J689="","",IFERROR(INDEX('Team Rosters'!$C$6:$C$205,MATCH(J689,'Team Rosters'!$B$6:$B$205,0)),"CODE NOT FOUND"))</f>
        <v/>
      </c>
      <c r="L689" s="31" t="str">
        <f t="shared" si="30"/>
        <v/>
      </c>
      <c r="M689" s="31" t="str">
        <f>IF(OR(J689="",C689&lt;&gt;"League",L689&lt;&gt;"VALID"),"",COUNTIFS($J$6:J689,J689,$G$6:G689,G689,$C$6:C689,"League"))</f>
        <v/>
      </c>
      <c r="N689" s="31" t="str">
        <f t="shared" si="31"/>
        <v/>
      </c>
      <c r="O689" s="37" t="str">
        <f t="shared" si="32"/>
        <v/>
      </c>
    </row>
    <row r="690" spans="1:15" ht="15">
      <c r="A690" s="30">
        <v>144</v>
      </c>
      <c r="B690" s="31" t="s">
        <v>503</v>
      </c>
      <c r="C690" s="31" t="s">
        <v>473</v>
      </c>
      <c r="D690" s="31" t="s">
        <v>490</v>
      </c>
      <c r="E690" s="31" t="s">
        <v>491</v>
      </c>
      <c r="F690" s="31" t="str">
        <f>IF(H690=1,INDEX('Match Results'!$G$6:$G$185,MATCH(A690,'Match Results'!$A$6:$A$185,0)),INDEX('Match Results'!$H$6:$H$185,MATCH(A690,'Match Results'!$A$6:$A$185,0)))</f>
        <v>A1</v>
      </c>
      <c r="G690" s="31" t="str">
        <f>IF(H690=1,INDEX('Match Results'!$H$6:$H$185,MATCH(A690,'Match Results'!$A$6:$A$185,0)),INDEX('Match Results'!$G$6:$G$185,MATCH(A690,'Match Results'!$A$6:$A$185,0)))</f>
        <v>A2</v>
      </c>
      <c r="H690" s="31">
        <v>1</v>
      </c>
      <c r="I690" s="31">
        <v>3</v>
      </c>
      <c r="J690" s="32"/>
      <c r="K690" s="31" t="str">
        <f>IF(J690="","",IFERROR(INDEX('Team Rosters'!$C$6:$C$205,MATCH(J690,'Team Rosters'!$B$6:$B$205,0)),"CODE NOT FOUND"))</f>
        <v/>
      </c>
      <c r="L690" s="31" t="str">
        <f t="shared" si="30"/>
        <v/>
      </c>
      <c r="M690" s="31" t="str">
        <f>IF(OR(J690="",C690&lt;&gt;"League",L690&lt;&gt;"VALID"),"",COUNTIFS($J$6:J690,J690,$G$6:G690,G690,$C$6:C690,"League"))</f>
        <v/>
      </c>
      <c r="N690" s="31" t="str">
        <f t="shared" si="31"/>
        <v/>
      </c>
      <c r="O690" s="37" t="str">
        <f t="shared" si="32"/>
        <v/>
      </c>
    </row>
    <row r="691" spans="1:15" ht="15">
      <c r="A691" s="30">
        <v>144</v>
      </c>
      <c r="B691" s="31" t="s">
        <v>503</v>
      </c>
      <c r="C691" s="31" t="s">
        <v>473</v>
      </c>
      <c r="D691" s="31" t="s">
        <v>490</v>
      </c>
      <c r="E691" s="31" t="s">
        <v>491</v>
      </c>
      <c r="F691" s="31" t="str">
        <f>IF(H691=1,INDEX('Match Results'!$G$6:$G$185,MATCH(A691,'Match Results'!$A$6:$A$185,0)),INDEX('Match Results'!$H$6:$H$185,MATCH(A691,'Match Results'!$A$6:$A$185,0)))</f>
        <v>A1</v>
      </c>
      <c r="G691" s="31" t="str">
        <f>IF(H691=1,INDEX('Match Results'!$H$6:$H$185,MATCH(A691,'Match Results'!$A$6:$A$185,0)),INDEX('Match Results'!$G$6:$G$185,MATCH(A691,'Match Results'!$A$6:$A$185,0)))</f>
        <v>A2</v>
      </c>
      <c r="H691" s="31">
        <v>1</v>
      </c>
      <c r="I691" s="31">
        <v>4</v>
      </c>
      <c r="J691" s="32"/>
      <c r="K691" s="31" t="str">
        <f>IF(J691="","",IFERROR(INDEX('Team Rosters'!$C$6:$C$205,MATCH(J691,'Team Rosters'!$B$6:$B$205,0)),"CODE NOT FOUND"))</f>
        <v/>
      </c>
      <c r="L691" s="31" t="str">
        <f t="shared" si="30"/>
        <v/>
      </c>
      <c r="M691" s="31" t="str">
        <f>IF(OR(J691="",C691&lt;&gt;"League",L691&lt;&gt;"VALID"),"",COUNTIFS($J$6:J691,J691,$G$6:G691,G691,$C$6:C691,"League"))</f>
        <v/>
      </c>
      <c r="N691" s="31" t="str">
        <f t="shared" si="31"/>
        <v/>
      </c>
      <c r="O691" s="37" t="str">
        <f t="shared" si="32"/>
        <v/>
      </c>
    </row>
    <row r="692" spans="1:15" ht="15">
      <c r="A692" s="30">
        <v>144</v>
      </c>
      <c r="B692" s="31" t="s">
        <v>503</v>
      </c>
      <c r="C692" s="31" t="s">
        <v>473</v>
      </c>
      <c r="D692" s="31" t="s">
        <v>490</v>
      </c>
      <c r="E692" s="31" t="s">
        <v>491</v>
      </c>
      <c r="F692" s="31" t="str">
        <f>IF(H692=1,INDEX('Match Results'!$G$6:$G$185,MATCH(A692,'Match Results'!$A$6:$A$185,0)),INDEX('Match Results'!$H$6:$H$185,MATCH(A692,'Match Results'!$A$6:$A$185,0)))</f>
        <v>A1</v>
      </c>
      <c r="G692" s="31" t="str">
        <f>IF(H692=1,INDEX('Match Results'!$H$6:$H$185,MATCH(A692,'Match Results'!$A$6:$A$185,0)),INDEX('Match Results'!$G$6:$G$185,MATCH(A692,'Match Results'!$A$6:$A$185,0)))</f>
        <v>A2</v>
      </c>
      <c r="H692" s="31">
        <v>1</v>
      </c>
      <c r="I692" s="31">
        <v>5</v>
      </c>
      <c r="J692" s="32"/>
      <c r="K692" s="31" t="str">
        <f>IF(J692="","",IFERROR(INDEX('Team Rosters'!$C$6:$C$205,MATCH(J692,'Team Rosters'!$B$6:$B$205,0)),"CODE NOT FOUND"))</f>
        <v/>
      </c>
      <c r="L692" s="31" t="str">
        <f t="shared" si="30"/>
        <v/>
      </c>
      <c r="M692" s="31" t="str">
        <f>IF(OR(J692="",C692&lt;&gt;"League",L692&lt;&gt;"VALID"),"",COUNTIFS($J$6:J692,J692,$G$6:G692,G692,$C$6:C692,"League"))</f>
        <v/>
      </c>
      <c r="N692" s="31" t="str">
        <f t="shared" si="31"/>
        <v/>
      </c>
      <c r="O692" s="37" t="str">
        <f t="shared" si="32"/>
        <v/>
      </c>
    </row>
    <row r="693" spans="1:15" ht="15">
      <c r="A693" s="30">
        <v>144</v>
      </c>
      <c r="B693" s="31" t="s">
        <v>503</v>
      </c>
      <c r="C693" s="31" t="s">
        <v>473</v>
      </c>
      <c r="D693" s="31" t="s">
        <v>490</v>
      </c>
      <c r="E693" s="31" t="s">
        <v>491</v>
      </c>
      <c r="F693" s="31" t="str">
        <f>IF(H693=1,INDEX('Match Results'!$G$6:$G$185,MATCH(A693,'Match Results'!$A$6:$A$185,0)),INDEX('Match Results'!$H$6:$H$185,MATCH(A693,'Match Results'!$A$6:$A$185,0)))</f>
        <v>A1</v>
      </c>
      <c r="G693" s="31" t="str">
        <f>IF(H693=1,INDEX('Match Results'!$H$6:$H$185,MATCH(A693,'Match Results'!$A$6:$A$185,0)),INDEX('Match Results'!$G$6:$G$185,MATCH(A693,'Match Results'!$A$6:$A$185,0)))</f>
        <v>A2</v>
      </c>
      <c r="H693" s="31">
        <v>1</v>
      </c>
      <c r="I693" s="31">
        <v>6</v>
      </c>
      <c r="J693" s="32"/>
      <c r="K693" s="31" t="str">
        <f>IF(J693="","",IFERROR(INDEX('Team Rosters'!$C$6:$C$205,MATCH(J693,'Team Rosters'!$B$6:$B$205,0)),"CODE NOT FOUND"))</f>
        <v/>
      </c>
      <c r="L693" s="31" t="str">
        <f t="shared" si="30"/>
        <v/>
      </c>
      <c r="M693" s="31" t="str">
        <f>IF(OR(J693="",C693&lt;&gt;"League",L693&lt;&gt;"VALID"),"",COUNTIFS($J$6:J693,J693,$G$6:G693,G693,$C$6:C693,"League"))</f>
        <v/>
      </c>
      <c r="N693" s="31" t="str">
        <f t="shared" si="31"/>
        <v/>
      </c>
      <c r="O693" s="37" t="str">
        <f t="shared" si="32"/>
        <v/>
      </c>
    </row>
    <row r="694" spans="1:15" ht="15">
      <c r="A694" s="30">
        <v>144</v>
      </c>
      <c r="B694" s="31" t="s">
        <v>503</v>
      </c>
      <c r="C694" s="31" t="s">
        <v>473</v>
      </c>
      <c r="D694" s="31" t="s">
        <v>490</v>
      </c>
      <c r="E694" s="31" t="s">
        <v>491</v>
      </c>
      <c r="F694" s="31" t="str">
        <f>IF(H694=1,INDEX('Match Results'!$G$6:$G$185,MATCH(A694,'Match Results'!$A$6:$A$185,0)),INDEX('Match Results'!$H$6:$H$185,MATCH(A694,'Match Results'!$A$6:$A$185,0)))</f>
        <v>A1</v>
      </c>
      <c r="G694" s="31" t="str">
        <f>IF(H694=1,INDEX('Match Results'!$H$6:$H$185,MATCH(A694,'Match Results'!$A$6:$A$185,0)),INDEX('Match Results'!$G$6:$G$185,MATCH(A694,'Match Results'!$A$6:$A$185,0)))</f>
        <v>A2</v>
      </c>
      <c r="H694" s="31">
        <v>1</v>
      </c>
      <c r="I694" s="31">
        <v>7</v>
      </c>
      <c r="J694" s="32"/>
      <c r="K694" s="31" t="str">
        <f>IF(J694="","",IFERROR(INDEX('Team Rosters'!$C$6:$C$205,MATCH(J694,'Team Rosters'!$B$6:$B$205,0)),"CODE NOT FOUND"))</f>
        <v/>
      </c>
      <c r="L694" s="31" t="str">
        <f t="shared" si="30"/>
        <v/>
      </c>
      <c r="M694" s="31" t="str">
        <f>IF(OR(J694="",C694&lt;&gt;"League",L694&lt;&gt;"VALID"),"",COUNTIFS($J$6:J694,J694,$G$6:G694,G694,$C$6:C694,"League"))</f>
        <v/>
      </c>
      <c r="N694" s="31" t="str">
        <f t="shared" si="31"/>
        <v/>
      </c>
      <c r="O694" s="37" t="str">
        <f t="shared" si="32"/>
        <v/>
      </c>
    </row>
    <row r="695" spans="1:15" ht="15">
      <c r="A695" s="30">
        <v>144</v>
      </c>
      <c r="B695" s="31" t="s">
        <v>503</v>
      </c>
      <c r="C695" s="31" t="s">
        <v>473</v>
      </c>
      <c r="D695" s="31" t="s">
        <v>490</v>
      </c>
      <c r="E695" s="31" t="s">
        <v>491</v>
      </c>
      <c r="F695" s="31" t="str">
        <f>IF(H695=1,INDEX('Match Results'!$G$6:$G$185,MATCH(A695,'Match Results'!$A$6:$A$185,0)),INDEX('Match Results'!$H$6:$H$185,MATCH(A695,'Match Results'!$A$6:$A$185,0)))</f>
        <v>A2</v>
      </c>
      <c r="G695" s="31" t="str">
        <f>IF(H695=1,INDEX('Match Results'!$H$6:$H$185,MATCH(A695,'Match Results'!$A$6:$A$185,0)),INDEX('Match Results'!$G$6:$G$185,MATCH(A695,'Match Results'!$A$6:$A$185,0)))</f>
        <v>A1</v>
      </c>
      <c r="H695" s="31">
        <v>2</v>
      </c>
      <c r="I695" s="31">
        <v>8</v>
      </c>
      <c r="J695" s="32"/>
      <c r="K695" s="31" t="str">
        <f>IF(J695="","",IFERROR(INDEX('Team Rosters'!$C$6:$C$205,MATCH(J695,'Team Rosters'!$B$6:$B$205,0)),"CODE NOT FOUND"))</f>
        <v/>
      </c>
      <c r="L695" s="31" t="str">
        <f t="shared" si="30"/>
        <v/>
      </c>
      <c r="M695" s="31" t="str">
        <f>IF(OR(J695="",C695&lt;&gt;"League",L695&lt;&gt;"VALID"),"",COUNTIFS($J$6:J695,J695,$G$6:G695,G695,$C$6:C695,"League"))</f>
        <v/>
      </c>
      <c r="N695" s="31" t="str">
        <f t="shared" si="31"/>
        <v/>
      </c>
      <c r="O695" s="37" t="str">
        <f t="shared" si="32"/>
        <v/>
      </c>
    </row>
    <row r="696" spans="1:15" ht="15">
      <c r="A696" s="30">
        <v>144</v>
      </c>
      <c r="B696" s="31" t="s">
        <v>503</v>
      </c>
      <c r="C696" s="31" t="s">
        <v>473</v>
      </c>
      <c r="D696" s="31" t="s">
        <v>490</v>
      </c>
      <c r="E696" s="31" t="s">
        <v>491</v>
      </c>
      <c r="F696" s="31" t="str">
        <f>IF(H696=1,INDEX('Match Results'!$G$6:$G$185,MATCH(A696,'Match Results'!$A$6:$A$185,0)),INDEX('Match Results'!$H$6:$H$185,MATCH(A696,'Match Results'!$A$6:$A$185,0)))</f>
        <v>A2</v>
      </c>
      <c r="G696" s="31" t="str">
        <f>IF(H696=1,INDEX('Match Results'!$H$6:$H$185,MATCH(A696,'Match Results'!$A$6:$A$185,0)),INDEX('Match Results'!$G$6:$G$185,MATCH(A696,'Match Results'!$A$6:$A$185,0)))</f>
        <v>A1</v>
      </c>
      <c r="H696" s="31">
        <v>2</v>
      </c>
      <c r="I696" s="31">
        <v>9</v>
      </c>
      <c r="J696" s="32"/>
      <c r="K696" s="31" t="str">
        <f>IF(J696="","",IFERROR(INDEX('Team Rosters'!$C$6:$C$205,MATCH(J696,'Team Rosters'!$B$6:$B$205,0)),"CODE NOT FOUND"))</f>
        <v/>
      </c>
      <c r="L696" s="31" t="str">
        <f t="shared" si="30"/>
        <v/>
      </c>
      <c r="M696" s="31" t="str">
        <f>IF(OR(J696="",C696&lt;&gt;"League",L696&lt;&gt;"VALID"),"",COUNTIFS($J$6:J696,J696,$G$6:G696,G696,$C$6:C696,"League"))</f>
        <v/>
      </c>
      <c r="N696" s="31" t="str">
        <f t="shared" si="31"/>
        <v/>
      </c>
      <c r="O696" s="37" t="str">
        <f t="shared" si="32"/>
        <v/>
      </c>
    </row>
    <row r="697" spans="1:15" ht="15">
      <c r="A697" s="30">
        <v>144</v>
      </c>
      <c r="B697" s="31" t="s">
        <v>503</v>
      </c>
      <c r="C697" s="31" t="s">
        <v>473</v>
      </c>
      <c r="D697" s="31" t="s">
        <v>490</v>
      </c>
      <c r="E697" s="31" t="s">
        <v>491</v>
      </c>
      <c r="F697" s="31" t="str">
        <f>IF(H697=1,INDEX('Match Results'!$G$6:$G$185,MATCH(A697,'Match Results'!$A$6:$A$185,0)),INDEX('Match Results'!$H$6:$H$185,MATCH(A697,'Match Results'!$A$6:$A$185,0)))</f>
        <v>A2</v>
      </c>
      <c r="G697" s="31" t="str">
        <f>IF(H697=1,INDEX('Match Results'!$H$6:$H$185,MATCH(A697,'Match Results'!$A$6:$A$185,0)),INDEX('Match Results'!$G$6:$G$185,MATCH(A697,'Match Results'!$A$6:$A$185,0)))</f>
        <v>A1</v>
      </c>
      <c r="H697" s="31">
        <v>2</v>
      </c>
      <c r="I697" s="31">
        <v>10</v>
      </c>
      <c r="J697" s="32"/>
      <c r="K697" s="31" t="str">
        <f>IF(J697="","",IFERROR(INDEX('Team Rosters'!$C$6:$C$205,MATCH(J697,'Team Rosters'!$B$6:$B$205,0)),"CODE NOT FOUND"))</f>
        <v/>
      </c>
      <c r="L697" s="31" t="str">
        <f t="shared" si="30"/>
        <v/>
      </c>
      <c r="M697" s="31" t="str">
        <f>IF(OR(J697="",C697&lt;&gt;"League",L697&lt;&gt;"VALID"),"",COUNTIFS($J$6:J697,J697,$G$6:G697,G697,$C$6:C697,"League"))</f>
        <v/>
      </c>
      <c r="N697" s="31" t="str">
        <f t="shared" si="31"/>
        <v/>
      </c>
      <c r="O697" s="37" t="str">
        <f t="shared" si="32"/>
        <v/>
      </c>
    </row>
    <row r="698" spans="1:15" ht="15">
      <c r="A698" s="30">
        <v>144</v>
      </c>
      <c r="B698" s="31" t="s">
        <v>503</v>
      </c>
      <c r="C698" s="31" t="s">
        <v>473</v>
      </c>
      <c r="D698" s="31" t="s">
        <v>490</v>
      </c>
      <c r="E698" s="31" t="s">
        <v>491</v>
      </c>
      <c r="F698" s="31" t="str">
        <f>IF(H698=1,INDEX('Match Results'!$G$6:$G$185,MATCH(A698,'Match Results'!$A$6:$A$185,0)),INDEX('Match Results'!$H$6:$H$185,MATCH(A698,'Match Results'!$A$6:$A$185,0)))</f>
        <v>A2</v>
      </c>
      <c r="G698" s="31" t="str">
        <f>IF(H698=1,INDEX('Match Results'!$H$6:$H$185,MATCH(A698,'Match Results'!$A$6:$A$185,0)),INDEX('Match Results'!$G$6:$G$185,MATCH(A698,'Match Results'!$A$6:$A$185,0)))</f>
        <v>A1</v>
      </c>
      <c r="H698" s="31">
        <v>2</v>
      </c>
      <c r="I698" s="31">
        <v>11</v>
      </c>
      <c r="J698" s="32"/>
      <c r="K698" s="31" t="str">
        <f>IF(J698="","",IFERROR(INDEX('Team Rosters'!$C$6:$C$205,MATCH(J698,'Team Rosters'!$B$6:$B$205,0)),"CODE NOT FOUND"))</f>
        <v/>
      </c>
      <c r="L698" s="31" t="str">
        <f t="shared" si="30"/>
        <v/>
      </c>
      <c r="M698" s="31" t="str">
        <f>IF(OR(J698="",C698&lt;&gt;"League",L698&lt;&gt;"VALID"),"",COUNTIFS($J$6:J698,J698,$G$6:G698,G698,$C$6:C698,"League"))</f>
        <v/>
      </c>
      <c r="N698" s="31" t="str">
        <f t="shared" si="31"/>
        <v/>
      </c>
      <c r="O698" s="37" t="str">
        <f t="shared" si="32"/>
        <v/>
      </c>
    </row>
    <row r="699" spans="1:15" ht="15">
      <c r="A699" s="30">
        <v>144</v>
      </c>
      <c r="B699" s="31" t="s">
        <v>503</v>
      </c>
      <c r="C699" s="31" t="s">
        <v>473</v>
      </c>
      <c r="D699" s="31" t="s">
        <v>490</v>
      </c>
      <c r="E699" s="31" t="s">
        <v>491</v>
      </c>
      <c r="F699" s="31" t="str">
        <f>IF(H699=1,INDEX('Match Results'!$G$6:$G$185,MATCH(A699,'Match Results'!$A$6:$A$185,0)),INDEX('Match Results'!$H$6:$H$185,MATCH(A699,'Match Results'!$A$6:$A$185,0)))</f>
        <v>A2</v>
      </c>
      <c r="G699" s="31" t="str">
        <f>IF(H699=1,INDEX('Match Results'!$H$6:$H$185,MATCH(A699,'Match Results'!$A$6:$A$185,0)),INDEX('Match Results'!$G$6:$G$185,MATCH(A699,'Match Results'!$A$6:$A$185,0)))</f>
        <v>A1</v>
      </c>
      <c r="H699" s="31">
        <v>2</v>
      </c>
      <c r="I699" s="31">
        <v>12</v>
      </c>
      <c r="J699" s="32"/>
      <c r="K699" s="31" t="str">
        <f>IF(J699="","",IFERROR(INDEX('Team Rosters'!$C$6:$C$205,MATCH(J699,'Team Rosters'!$B$6:$B$205,0)),"CODE NOT FOUND"))</f>
        <v/>
      </c>
      <c r="L699" s="31" t="str">
        <f t="shared" si="30"/>
        <v/>
      </c>
      <c r="M699" s="31" t="str">
        <f>IF(OR(J699="",C699&lt;&gt;"League",L699&lt;&gt;"VALID"),"",COUNTIFS($J$6:J699,J699,$G$6:G699,G699,$C$6:C699,"League"))</f>
        <v/>
      </c>
      <c r="N699" s="31" t="str">
        <f t="shared" si="31"/>
        <v/>
      </c>
      <c r="O699" s="37" t="str">
        <f t="shared" si="32"/>
        <v/>
      </c>
    </row>
    <row r="700" spans="1:15" ht="15">
      <c r="A700" s="30">
        <v>144</v>
      </c>
      <c r="B700" s="31" t="s">
        <v>503</v>
      </c>
      <c r="C700" s="31" t="s">
        <v>473</v>
      </c>
      <c r="D700" s="31" t="s">
        <v>490</v>
      </c>
      <c r="E700" s="31" t="s">
        <v>491</v>
      </c>
      <c r="F700" s="31" t="str">
        <f>IF(H700=1,INDEX('Match Results'!$G$6:$G$185,MATCH(A700,'Match Results'!$A$6:$A$185,0)),INDEX('Match Results'!$H$6:$H$185,MATCH(A700,'Match Results'!$A$6:$A$185,0)))</f>
        <v>A2</v>
      </c>
      <c r="G700" s="31" t="str">
        <f>IF(H700=1,INDEX('Match Results'!$H$6:$H$185,MATCH(A700,'Match Results'!$A$6:$A$185,0)),INDEX('Match Results'!$G$6:$G$185,MATCH(A700,'Match Results'!$A$6:$A$185,0)))</f>
        <v>A1</v>
      </c>
      <c r="H700" s="31">
        <v>2</v>
      </c>
      <c r="I700" s="31">
        <v>13</v>
      </c>
      <c r="J700" s="32"/>
      <c r="K700" s="31" t="str">
        <f>IF(J700="","",IFERROR(INDEX('Team Rosters'!$C$6:$C$205,MATCH(J700,'Team Rosters'!$B$6:$B$205,0)),"CODE NOT FOUND"))</f>
        <v/>
      </c>
      <c r="L700" s="31" t="str">
        <f t="shared" si="30"/>
        <v/>
      </c>
      <c r="M700" s="31" t="str">
        <f>IF(OR(J700="",C700&lt;&gt;"League",L700&lt;&gt;"VALID"),"",COUNTIFS($J$6:J700,J700,$G$6:G700,G700,$C$6:C700,"League"))</f>
        <v/>
      </c>
      <c r="N700" s="31" t="str">
        <f t="shared" si="31"/>
        <v/>
      </c>
      <c r="O700" s="37" t="str">
        <f t="shared" si="32"/>
        <v/>
      </c>
    </row>
    <row r="701" spans="1:15" ht="15">
      <c r="A701" s="30">
        <v>144</v>
      </c>
      <c r="B701" s="31" t="s">
        <v>503</v>
      </c>
      <c r="C701" s="31" t="s">
        <v>473</v>
      </c>
      <c r="D701" s="31" t="s">
        <v>490</v>
      </c>
      <c r="E701" s="31" t="s">
        <v>491</v>
      </c>
      <c r="F701" s="31" t="str">
        <f>IF(H701=1,INDEX('Match Results'!$G$6:$G$185,MATCH(A701,'Match Results'!$A$6:$A$185,0)),INDEX('Match Results'!$H$6:$H$185,MATCH(A701,'Match Results'!$A$6:$A$185,0)))</f>
        <v>A2</v>
      </c>
      <c r="G701" s="31" t="str">
        <f>IF(H701=1,INDEX('Match Results'!$H$6:$H$185,MATCH(A701,'Match Results'!$A$6:$A$185,0)),INDEX('Match Results'!$G$6:$G$185,MATCH(A701,'Match Results'!$A$6:$A$185,0)))</f>
        <v>A1</v>
      </c>
      <c r="H701" s="31">
        <v>2</v>
      </c>
      <c r="I701" s="31">
        <v>14</v>
      </c>
      <c r="J701" s="32"/>
      <c r="K701" s="31" t="str">
        <f>IF(J701="","",IFERROR(INDEX('Team Rosters'!$C$6:$C$205,MATCH(J701,'Team Rosters'!$B$6:$B$205,0)),"CODE NOT FOUND"))</f>
        <v/>
      </c>
      <c r="L701" s="31" t="str">
        <f t="shared" si="30"/>
        <v/>
      </c>
      <c r="M701" s="31" t="str">
        <f>IF(OR(J701="",C701&lt;&gt;"League",L701&lt;&gt;"VALID"),"",COUNTIFS($J$6:J701,J701,$G$6:G701,G701,$C$6:C701,"League"))</f>
        <v/>
      </c>
      <c r="N701" s="31" t="str">
        <f t="shared" si="31"/>
        <v/>
      </c>
      <c r="O701" s="37" t="str">
        <f t="shared" si="32"/>
        <v/>
      </c>
    </row>
    <row r="702" spans="1:15" ht="15">
      <c r="A702" s="30">
        <v>145</v>
      </c>
      <c r="B702" s="31" t="s">
        <v>538</v>
      </c>
      <c r="C702" s="31" t="s">
        <v>539</v>
      </c>
      <c r="D702" s="31" t="s">
        <v>486</v>
      </c>
      <c r="E702" s="31" t="s">
        <v>472</v>
      </c>
      <c r="F702" s="31" t="str">
        <f>IF(H702=1,INDEX('Match Results'!$G$6:$G$185,MATCH(A702,'Match Results'!$A$6:$A$185,0)),INDEX('Match Results'!$H$6:$H$185,MATCH(A702,'Match Results'!$A$6:$A$185,0)))</f>
        <v>A1</v>
      </c>
      <c r="G702" s="31" t="str">
        <f>IF(H702=1,INDEX('Match Results'!$H$6:$H$185,MATCH(A702,'Match Results'!$A$6:$A$185,0)),INDEX('Match Results'!$G$6:$G$185,MATCH(A702,'Match Results'!$A$6:$A$185,0)))</f>
        <v>B3</v>
      </c>
      <c r="H702" s="31">
        <v>1</v>
      </c>
      <c r="I702" s="31">
        <v>1</v>
      </c>
      <c r="J702" s="32"/>
      <c r="K702" s="31" t="str">
        <f>IF(J702="","",IFERROR(INDEX('Team Rosters'!$C$6:$C$205,MATCH(J702,'Team Rosters'!$B$6:$B$205,0)),"CODE NOT FOUND"))</f>
        <v/>
      </c>
      <c r="L702" s="31" t="str">
        <f t="shared" si="30"/>
        <v/>
      </c>
      <c r="M702" s="31" t="str">
        <f>IF(OR(J702="",C702&lt;&gt;"League",L702&lt;&gt;"VALID"),"",COUNTIFS($J$6:J702,J702,$G$6:G702,G702,$C$6:C702,"League"))</f>
        <v/>
      </c>
      <c r="N702" s="31" t="str">
        <f t="shared" si="31"/>
        <v/>
      </c>
      <c r="O702" s="37" t="str">
        <f t="shared" si="32"/>
        <v/>
      </c>
    </row>
    <row r="703" spans="1:15" ht="15">
      <c r="A703" s="30">
        <v>145</v>
      </c>
      <c r="B703" s="31" t="s">
        <v>538</v>
      </c>
      <c r="C703" s="31" t="s">
        <v>539</v>
      </c>
      <c r="D703" s="31" t="s">
        <v>486</v>
      </c>
      <c r="E703" s="31" t="s">
        <v>472</v>
      </c>
      <c r="F703" s="31" t="str">
        <f>IF(H703=1,INDEX('Match Results'!$G$6:$G$185,MATCH(A703,'Match Results'!$A$6:$A$185,0)),INDEX('Match Results'!$H$6:$H$185,MATCH(A703,'Match Results'!$A$6:$A$185,0)))</f>
        <v>A1</v>
      </c>
      <c r="G703" s="31" t="str">
        <f>IF(H703=1,INDEX('Match Results'!$H$6:$H$185,MATCH(A703,'Match Results'!$A$6:$A$185,0)),INDEX('Match Results'!$G$6:$G$185,MATCH(A703,'Match Results'!$A$6:$A$185,0)))</f>
        <v>B3</v>
      </c>
      <c r="H703" s="31">
        <v>1</v>
      </c>
      <c r="I703" s="31">
        <v>2</v>
      </c>
      <c r="J703" s="32"/>
      <c r="K703" s="31" t="str">
        <f>IF(J703="","",IFERROR(INDEX('Team Rosters'!$C$6:$C$205,MATCH(J703,'Team Rosters'!$B$6:$B$205,0)),"CODE NOT FOUND"))</f>
        <v/>
      </c>
      <c r="L703" s="31" t="str">
        <f t="shared" si="30"/>
        <v/>
      </c>
      <c r="M703" s="31" t="str">
        <f>IF(OR(J703="",C703&lt;&gt;"League",L703&lt;&gt;"VALID"),"",COUNTIFS($J$6:J703,J703,$G$6:G703,G703,$C$6:C703,"League"))</f>
        <v/>
      </c>
      <c r="N703" s="31" t="str">
        <f t="shared" si="31"/>
        <v/>
      </c>
      <c r="O703" s="37" t="str">
        <f t="shared" si="32"/>
        <v/>
      </c>
    </row>
    <row r="704" spans="1:15" ht="15">
      <c r="A704" s="30">
        <v>145</v>
      </c>
      <c r="B704" s="31" t="s">
        <v>538</v>
      </c>
      <c r="C704" s="31" t="s">
        <v>539</v>
      </c>
      <c r="D704" s="31" t="s">
        <v>486</v>
      </c>
      <c r="E704" s="31" t="s">
        <v>472</v>
      </c>
      <c r="F704" s="31" t="str">
        <f>IF(H704=1,INDEX('Match Results'!$G$6:$G$185,MATCH(A704,'Match Results'!$A$6:$A$185,0)),INDEX('Match Results'!$H$6:$H$185,MATCH(A704,'Match Results'!$A$6:$A$185,0)))</f>
        <v>B3</v>
      </c>
      <c r="G704" s="31" t="str">
        <f>IF(H704=1,INDEX('Match Results'!$H$6:$H$185,MATCH(A704,'Match Results'!$A$6:$A$185,0)),INDEX('Match Results'!$G$6:$G$185,MATCH(A704,'Match Results'!$A$6:$A$185,0)))</f>
        <v>A1</v>
      </c>
      <c r="H704" s="31">
        <v>2</v>
      </c>
      <c r="I704" s="31">
        <v>3</v>
      </c>
      <c r="J704" s="32"/>
      <c r="K704" s="31" t="str">
        <f>IF(J704="","",IFERROR(INDEX('Team Rosters'!$C$6:$C$205,MATCH(J704,'Team Rosters'!$B$6:$B$205,0)),"CODE NOT FOUND"))</f>
        <v/>
      </c>
      <c r="L704" s="31" t="str">
        <f t="shared" si="30"/>
        <v/>
      </c>
      <c r="M704" s="31" t="str">
        <f>IF(OR(J704="",C704&lt;&gt;"League",L704&lt;&gt;"VALID"),"",COUNTIFS($J$6:J704,J704,$G$6:G704,G704,$C$6:C704,"League"))</f>
        <v/>
      </c>
      <c r="N704" s="31" t="str">
        <f t="shared" si="31"/>
        <v/>
      </c>
      <c r="O704" s="37" t="str">
        <f t="shared" si="32"/>
        <v/>
      </c>
    </row>
    <row r="705" spans="1:15" ht="15">
      <c r="A705" s="30">
        <v>145</v>
      </c>
      <c r="B705" s="31" t="s">
        <v>538</v>
      </c>
      <c r="C705" s="31" t="s">
        <v>539</v>
      </c>
      <c r="D705" s="31" t="s">
        <v>486</v>
      </c>
      <c r="E705" s="31" t="s">
        <v>472</v>
      </c>
      <c r="F705" s="31" t="str">
        <f>IF(H705=1,INDEX('Match Results'!$G$6:$G$185,MATCH(A705,'Match Results'!$A$6:$A$185,0)),INDEX('Match Results'!$H$6:$H$185,MATCH(A705,'Match Results'!$A$6:$A$185,0)))</f>
        <v>B3</v>
      </c>
      <c r="G705" s="31" t="str">
        <f>IF(H705=1,INDEX('Match Results'!$H$6:$H$185,MATCH(A705,'Match Results'!$A$6:$A$185,0)),INDEX('Match Results'!$G$6:$G$185,MATCH(A705,'Match Results'!$A$6:$A$185,0)))</f>
        <v>A1</v>
      </c>
      <c r="H705" s="31">
        <v>2</v>
      </c>
      <c r="I705" s="31">
        <v>4</v>
      </c>
      <c r="J705" s="32"/>
      <c r="K705" s="31" t="str">
        <f>IF(J705="","",IFERROR(INDEX('Team Rosters'!$C$6:$C$205,MATCH(J705,'Team Rosters'!$B$6:$B$205,0)),"CODE NOT FOUND"))</f>
        <v/>
      </c>
      <c r="L705" s="31" t="str">
        <f t="shared" si="30"/>
        <v/>
      </c>
      <c r="M705" s="31" t="str">
        <f>IF(OR(J705="",C705&lt;&gt;"League",L705&lt;&gt;"VALID"),"",COUNTIFS($J$6:J705,J705,$G$6:G705,G705,$C$6:C705,"League"))</f>
        <v/>
      </c>
      <c r="N705" s="31" t="str">
        <f t="shared" si="31"/>
        <v/>
      </c>
      <c r="O705" s="37" t="str">
        <f t="shared" si="32"/>
        <v/>
      </c>
    </row>
    <row r="706" spans="1:15" ht="15">
      <c r="A706" s="30">
        <v>146</v>
      </c>
      <c r="B706" s="31" t="s">
        <v>538</v>
      </c>
      <c r="C706" s="31" t="s">
        <v>539</v>
      </c>
      <c r="D706" s="31" t="s">
        <v>486</v>
      </c>
      <c r="E706" s="31" t="s">
        <v>475</v>
      </c>
      <c r="F706" s="31" t="str">
        <f>IF(H706=1,INDEX('Match Results'!$G$6:$G$185,MATCH(A706,'Match Results'!$A$6:$A$185,0)),INDEX('Match Results'!$H$6:$H$185,MATCH(A706,'Match Results'!$A$6:$A$185,0)))</f>
        <v>A4</v>
      </c>
      <c r="G706" s="31" t="str">
        <f>IF(H706=1,INDEX('Match Results'!$H$6:$H$185,MATCH(A706,'Match Results'!$A$6:$A$185,0)),INDEX('Match Results'!$G$6:$G$185,MATCH(A706,'Match Results'!$A$6:$A$185,0)))</f>
        <v>B3</v>
      </c>
      <c r="H706" s="31">
        <v>1</v>
      </c>
      <c r="I706" s="31">
        <v>1</v>
      </c>
      <c r="J706" s="32"/>
      <c r="K706" s="31" t="str">
        <f>IF(J706="","",IFERROR(INDEX('Team Rosters'!$C$6:$C$205,MATCH(J706,'Team Rosters'!$B$6:$B$205,0)),"CODE NOT FOUND"))</f>
        <v/>
      </c>
      <c r="L706" s="31" t="str">
        <f t="shared" si="30"/>
        <v/>
      </c>
      <c r="M706" s="31" t="str">
        <f>IF(OR(J706="",C706&lt;&gt;"League",L706&lt;&gt;"VALID"),"",COUNTIFS($J$6:J706,J706,$G$6:G706,G706,$C$6:C706,"League"))</f>
        <v/>
      </c>
      <c r="N706" s="31" t="str">
        <f t="shared" si="31"/>
        <v/>
      </c>
      <c r="O706" s="37" t="str">
        <f t="shared" si="32"/>
        <v/>
      </c>
    </row>
    <row r="707" spans="1:15" ht="15">
      <c r="A707" s="30">
        <v>146</v>
      </c>
      <c r="B707" s="31" t="s">
        <v>538</v>
      </c>
      <c r="C707" s="31" t="s">
        <v>539</v>
      </c>
      <c r="D707" s="31" t="s">
        <v>486</v>
      </c>
      <c r="E707" s="31" t="s">
        <v>475</v>
      </c>
      <c r="F707" s="31" t="str">
        <f>IF(H707=1,INDEX('Match Results'!$G$6:$G$185,MATCH(A707,'Match Results'!$A$6:$A$185,0)),INDEX('Match Results'!$H$6:$H$185,MATCH(A707,'Match Results'!$A$6:$A$185,0)))</f>
        <v>A4</v>
      </c>
      <c r="G707" s="31" t="str">
        <f>IF(H707=1,INDEX('Match Results'!$H$6:$H$185,MATCH(A707,'Match Results'!$A$6:$A$185,0)),INDEX('Match Results'!$G$6:$G$185,MATCH(A707,'Match Results'!$A$6:$A$185,0)))</f>
        <v>B3</v>
      </c>
      <c r="H707" s="31">
        <v>1</v>
      </c>
      <c r="I707" s="31">
        <v>2</v>
      </c>
      <c r="J707" s="32"/>
      <c r="K707" s="31" t="str">
        <f>IF(J707="","",IFERROR(INDEX('Team Rosters'!$C$6:$C$205,MATCH(J707,'Team Rosters'!$B$6:$B$205,0)),"CODE NOT FOUND"))</f>
        <v/>
      </c>
      <c r="L707" s="31" t="str">
        <f t="shared" si="30"/>
        <v/>
      </c>
      <c r="M707" s="31" t="str">
        <f>IF(OR(J707="",C707&lt;&gt;"League",L707&lt;&gt;"VALID"),"",COUNTIFS($J$6:J707,J707,$G$6:G707,G707,$C$6:C707,"League"))</f>
        <v/>
      </c>
      <c r="N707" s="31" t="str">
        <f t="shared" si="31"/>
        <v/>
      </c>
      <c r="O707" s="37" t="str">
        <f t="shared" si="32"/>
        <v/>
      </c>
    </row>
    <row r="708" spans="1:15" ht="15">
      <c r="A708" s="30">
        <v>146</v>
      </c>
      <c r="B708" s="31" t="s">
        <v>538</v>
      </c>
      <c r="C708" s="31" t="s">
        <v>539</v>
      </c>
      <c r="D708" s="31" t="s">
        <v>486</v>
      </c>
      <c r="E708" s="31" t="s">
        <v>475</v>
      </c>
      <c r="F708" s="31" t="str">
        <f>IF(H708=1,INDEX('Match Results'!$G$6:$G$185,MATCH(A708,'Match Results'!$A$6:$A$185,0)),INDEX('Match Results'!$H$6:$H$185,MATCH(A708,'Match Results'!$A$6:$A$185,0)))</f>
        <v>B3</v>
      </c>
      <c r="G708" s="31" t="str">
        <f>IF(H708=1,INDEX('Match Results'!$H$6:$H$185,MATCH(A708,'Match Results'!$A$6:$A$185,0)),INDEX('Match Results'!$G$6:$G$185,MATCH(A708,'Match Results'!$A$6:$A$185,0)))</f>
        <v>A4</v>
      </c>
      <c r="H708" s="31">
        <v>2</v>
      </c>
      <c r="I708" s="31">
        <v>3</v>
      </c>
      <c r="J708" s="32"/>
      <c r="K708" s="31" t="str">
        <f>IF(J708="","",IFERROR(INDEX('Team Rosters'!$C$6:$C$205,MATCH(J708,'Team Rosters'!$B$6:$B$205,0)),"CODE NOT FOUND"))</f>
        <v/>
      </c>
      <c r="L708" s="31" t="str">
        <f t="shared" si="30"/>
        <v/>
      </c>
      <c r="M708" s="31" t="str">
        <f>IF(OR(J708="",C708&lt;&gt;"League",L708&lt;&gt;"VALID"),"",COUNTIFS($J$6:J708,J708,$G$6:G708,G708,$C$6:C708,"League"))</f>
        <v/>
      </c>
      <c r="N708" s="31" t="str">
        <f t="shared" si="31"/>
        <v/>
      </c>
      <c r="O708" s="37" t="str">
        <f t="shared" si="32"/>
        <v/>
      </c>
    </row>
    <row r="709" spans="1:15" ht="15">
      <c r="A709" s="30">
        <v>146</v>
      </c>
      <c r="B709" s="31" t="s">
        <v>538</v>
      </c>
      <c r="C709" s="31" t="s">
        <v>539</v>
      </c>
      <c r="D709" s="31" t="s">
        <v>486</v>
      </c>
      <c r="E709" s="31" t="s">
        <v>475</v>
      </c>
      <c r="F709" s="31" t="str">
        <f>IF(H709=1,INDEX('Match Results'!$G$6:$G$185,MATCH(A709,'Match Results'!$A$6:$A$185,0)),INDEX('Match Results'!$H$6:$H$185,MATCH(A709,'Match Results'!$A$6:$A$185,0)))</f>
        <v>B3</v>
      </c>
      <c r="G709" s="31" t="str">
        <f>IF(H709=1,INDEX('Match Results'!$H$6:$H$185,MATCH(A709,'Match Results'!$A$6:$A$185,0)),INDEX('Match Results'!$G$6:$G$185,MATCH(A709,'Match Results'!$A$6:$A$185,0)))</f>
        <v>A4</v>
      </c>
      <c r="H709" s="31">
        <v>2</v>
      </c>
      <c r="I709" s="31">
        <v>4</v>
      </c>
      <c r="J709" s="32"/>
      <c r="K709" s="31" t="str">
        <f>IF(J709="","",IFERROR(INDEX('Team Rosters'!$C$6:$C$205,MATCH(J709,'Team Rosters'!$B$6:$B$205,0)),"CODE NOT FOUND"))</f>
        <v/>
      </c>
      <c r="L709" s="31" t="str">
        <f t="shared" si="30"/>
        <v/>
      </c>
      <c r="M709" s="31" t="str">
        <f>IF(OR(J709="",C709&lt;&gt;"League",L709&lt;&gt;"VALID"),"",COUNTIFS($J$6:J709,J709,$G$6:G709,G709,$C$6:C709,"League"))</f>
        <v/>
      </c>
      <c r="N709" s="31" t="str">
        <f t="shared" si="31"/>
        <v/>
      </c>
      <c r="O709" s="37" t="str">
        <f t="shared" si="32"/>
        <v/>
      </c>
    </row>
    <row r="710" spans="1:15" ht="15">
      <c r="A710" s="30">
        <v>147</v>
      </c>
      <c r="B710" s="31" t="s">
        <v>538</v>
      </c>
      <c r="C710" s="31" t="s">
        <v>539</v>
      </c>
      <c r="D710" s="31" t="s">
        <v>486</v>
      </c>
      <c r="E710" s="31" t="s">
        <v>477</v>
      </c>
      <c r="F710" s="31" t="str">
        <f>IF(H710=1,INDEX('Match Results'!$G$6:$G$185,MATCH(A710,'Match Results'!$A$6:$A$185,0)),INDEX('Match Results'!$H$6:$H$185,MATCH(A710,'Match Results'!$A$6:$A$185,0)))</f>
        <v>A4</v>
      </c>
      <c r="G710" s="31" t="str">
        <f>IF(H710=1,INDEX('Match Results'!$H$6:$H$185,MATCH(A710,'Match Results'!$A$6:$A$185,0)),INDEX('Match Results'!$G$6:$G$185,MATCH(A710,'Match Results'!$A$6:$A$185,0)))</f>
        <v>B3</v>
      </c>
      <c r="H710" s="31">
        <v>1</v>
      </c>
      <c r="I710" s="31">
        <v>1</v>
      </c>
      <c r="J710" s="32"/>
      <c r="K710" s="31" t="str">
        <f>IF(J710="","",IFERROR(INDEX('Team Rosters'!$C$6:$C$205,MATCH(J710,'Team Rosters'!$B$6:$B$205,0)),"CODE NOT FOUND"))</f>
        <v/>
      </c>
      <c r="L710" s="31" t="str">
        <f t="shared" ref="L710:L773" si="33">IF(J710="","",IF(AND(K710&lt;&gt;"",K710&lt;&gt;"CODE NOT FOUND",LEFT(J710,2)=F710),"VALID","CHECK ROSTER"))</f>
        <v/>
      </c>
      <c r="M710" s="31" t="str">
        <f>IF(OR(J710="",C710&lt;&gt;"League",L710&lt;&gt;"VALID"),"",COUNTIFS($J$6:J710,J710,$G$6:G710,G710,$C$6:C710,"League"))</f>
        <v/>
      </c>
      <c r="N710" s="31" t="str">
        <f t="shared" ref="N710:N773" si="34">IF(J710="","",IF(L710&lt;&gt;"VALID","CHECK ROSTER",IF(C710&lt;&gt;"League","NOT APPLICABLE",IF(M710&lt;=2,"OK","VIOLATION"))))</f>
        <v/>
      </c>
      <c r="O710" s="37" t="str">
        <f t="shared" ref="O710:O773" si="35">IF(N710="VIOLATION",K710&amp;" has played "&amp;M710&amp;" league matches against "&amp;G710&amp;"; limit is 2.","")</f>
        <v/>
      </c>
    </row>
    <row r="711" spans="1:15" ht="15">
      <c r="A711" s="30">
        <v>147</v>
      </c>
      <c r="B711" s="31" t="s">
        <v>538</v>
      </c>
      <c r="C711" s="31" t="s">
        <v>539</v>
      </c>
      <c r="D711" s="31" t="s">
        <v>486</v>
      </c>
      <c r="E711" s="31" t="s">
        <v>477</v>
      </c>
      <c r="F711" s="31" t="str">
        <f>IF(H711=1,INDEX('Match Results'!$G$6:$G$185,MATCH(A711,'Match Results'!$A$6:$A$185,0)),INDEX('Match Results'!$H$6:$H$185,MATCH(A711,'Match Results'!$A$6:$A$185,0)))</f>
        <v>A4</v>
      </c>
      <c r="G711" s="31" t="str">
        <f>IF(H711=1,INDEX('Match Results'!$H$6:$H$185,MATCH(A711,'Match Results'!$A$6:$A$185,0)),INDEX('Match Results'!$G$6:$G$185,MATCH(A711,'Match Results'!$A$6:$A$185,0)))</f>
        <v>B3</v>
      </c>
      <c r="H711" s="31">
        <v>1</v>
      </c>
      <c r="I711" s="31">
        <v>2</v>
      </c>
      <c r="J711" s="32"/>
      <c r="K711" s="31" t="str">
        <f>IF(J711="","",IFERROR(INDEX('Team Rosters'!$C$6:$C$205,MATCH(J711,'Team Rosters'!$B$6:$B$205,0)),"CODE NOT FOUND"))</f>
        <v/>
      </c>
      <c r="L711" s="31" t="str">
        <f t="shared" si="33"/>
        <v/>
      </c>
      <c r="M711" s="31" t="str">
        <f>IF(OR(J711="",C711&lt;&gt;"League",L711&lt;&gt;"VALID"),"",COUNTIFS($J$6:J711,J711,$G$6:G711,G711,$C$6:C711,"League"))</f>
        <v/>
      </c>
      <c r="N711" s="31" t="str">
        <f t="shared" si="34"/>
        <v/>
      </c>
      <c r="O711" s="37" t="str">
        <f t="shared" si="35"/>
        <v/>
      </c>
    </row>
    <row r="712" spans="1:15" ht="15">
      <c r="A712" s="30">
        <v>147</v>
      </c>
      <c r="B712" s="31" t="s">
        <v>538</v>
      </c>
      <c r="C712" s="31" t="s">
        <v>539</v>
      </c>
      <c r="D712" s="31" t="s">
        <v>486</v>
      </c>
      <c r="E712" s="31" t="s">
        <v>477</v>
      </c>
      <c r="F712" s="31" t="str">
        <f>IF(H712=1,INDEX('Match Results'!$G$6:$G$185,MATCH(A712,'Match Results'!$A$6:$A$185,0)),INDEX('Match Results'!$H$6:$H$185,MATCH(A712,'Match Results'!$A$6:$A$185,0)))</f>
        <v>B3</v>
      </c>
      <c r="G712" s="31" t="str">
        <f>IF(H712=1,INDEX('Match Results'!$H$6:$H$185,MATCH(A712,'Match Results'!$A$6:$A$185,0)),INDEX('Match Results'!$G$6:$G$185,MATCH(A712,'Match Results'!$A$6:$A$185,0)))</f>
        <v>A4</v>
      </c>
      <c r="H712" s="31">
        <v>2</v>
      </c>
      <c r="I712" s="31">
        <v>3</v>
      </c>
      <c r="J712" s="32"/>
      <c r="K712" s="31" t="str">
        <f>IF(J712="","",IFERROR(INDEX('Team Rosters'!$C$6:$C$205,MATCH(J712,'Team Rosters'!$B$6:$B$205,0)),"CODE NOT FOUND"))</f>
        <v/>
      </c>
      <c r="L712" s="31" t="str">
        <f t="shared" si="33"/>
        <v/>
      </c>
      <c r="M712" s="31" t="str">
        <f>IF(OR(J712="",C712&lt;&gt;"League",L712&lt;&gt;"VALID"),"",COUNTIFS($J$6:J712,J712,$G$6:G712,G712,$C$6:C712,"League"))</f>
        <v/>
      </c>
      <c r="N712" s="31" t="str">
        <f t="shared" si="34"/>
        <v/>
      </c>
      <c r="O712" s="37" t="str">
        <f t="shared" si="35"/>
        <v/>
      </c>
    </row>
    <row r="713" spans="1:15" ht="15">
      <c r="A713" s="30">
        <v>147</v>
      </c>
      <c r="B713" s="31" t="s">
        <v>538</v>
      </c>
      <c r="C713" s="31" t="s">
        <v>539</v>
      </c>
      <c r="D713" s="31" t="s">
        <v>486</v>
      </c>
      <c r="E713" s="31" t="s">
        <v>477</v>
      </c>
      <c r="F713" s="31" t="str">
        <f>IF(H713=1,INDEX('Match Results'!$G$6:$G$185,MATCH(A713,'Match Results'!$A$6:$A$185,0)),INDEX('Match Results'!$H$6:$H$185,MATCH(A713,'Match Results'!$A$6:$A$185,0)))</f>
        <v>B3</v>
      </c>
      <c r="G713" s="31" t="str">
        <f>IF(H713=1,INDEX('Match Results'!$H$6:$H$185,MATCH(A713,'Match Results'!$A$6:$A$185,0)),INDEX('Match Results'!$G$6:$G$185,MATCH(A713,'Match Results'!$A$6:$A$185,0)))</f>
        <v>A4</v>
      </c>
      <c r="H713" s="31">
        <v>2</v>
      </c>
      <c r="I713" s="31">
        <v>4</v>
      </c>
      <c r="J713" s="32"/>
      <c r="K713" s="31" t="str">
        <f>IF(J713="","",IFERROR(INDEX('Team Rosters'!$C$6:$C$205,MATCH(J713,'Team Rosters'!$B$6:$B$205,0)),"CODE NOT FOUND"))</f>
        <v/>
      </c>
      <c r="L713" s="31" t="str">
        <f t="shared" si="33"/>
        <v/>
      </c>
      <c r="M713" s="31" t="str">
        <f>IF(OR(J713="",C713&lt;&gt;"League",L713&lt;&gt;"VALID"),"",COUNTIFS($J$6:J713,J713,$G$6:G713,G713,$C$6:C713,"League"))</f>
        <v/>
      </c>
      <c r="N713" s="31" t="str">
        <f t="shared" si="34"/>
        <v/>
      </c>
      <c r="O713" s="37" t="str">
        <f t="shared" si="35"/>
        <v/>
      </c>
    </row>
    <row r="714" spans="1:15" ht="15">
      <c r="A714" s="30">
        <v>148</v>
      </c>
      <c r="B714" s="31" t="s">
        <v>538</v>
      </c>
      <c r="C714" s="31" t="s">
        <v>539</v>
      </c>
      <c r="D714" s="31" t="s">
        <v>483</v>
      </c>
      <c r="E714" s="31" t="s">
        <v>472</v>
      </c>
      <c r="F714" s="31" t="str">
        <f>IF(H714=1,INDEX('Match Results'!$G$6:$G$185,MATCH(A714,'Match Results'!$A$6:$A$185,0)),INDEX('Match Results'!$H$6:$H$185,MATCH(A714,'Match Results'!$A$6:$A$185,0)))</f>
        <v>A4</v>
      </c>
      <c r="G714" s="31" t="str">
        <f>IF(H714=1,INDEX('Match Results'!$H$6:$H$185,MATCH(A714,'Match Results'!$A$6:$A$185,0)),INDEX('Match Results'!$G$6:$G$185,MATCH(A714,'Match Results'!$A$6:$A$185,0)))</f>
        <v>B3</v>
      </c>
      <c r="H714" s="31">
        <v>1</v>
      </c>
      <c r="I714" s="31">
        <v>1</v>
      </c>
      <c r="J714" s="32"/>
      <c r="K714" s="31" t="str">
        <f>IF(J714="","",IFERROR(INDEX('Team Rosters'!$C$6:$C$205,MATCH(J714,'Team Rosters'!$B$6:$B$205,0)),"CODE NOT FOUND"))</f>
        <v/>
      </c>
      <c r="L714" s="31" t="str">
        <f t="shared" si="33"/>
        <v/>
      </c>
      <c r="M714" s="31" t="str">
        <f>IF(OR(J714="",C714&lt;&gt;"League",L714&lt;&gt;"VALID"),"",COUNTIFS($J$6:J714,J714,$G$6:G714,G714,$C$6:C714,"League"))</f>
        <v/>
      </c>
      <c r="N714" s="31" t="str">
        <f t="shared" si="34"/>
        <v/>
      </c>
      <c r="O714" s="37" t="str">
        <f t="shared" si="35"/>
        <v/>
      </c>
    </row>
    <row r="715" spans="1:15" ht="15">
      <c r="A715" s="30">
        <v>148</v>
      </c>
      <c r="B715" s="31" t="s">
        <v>538</v>
      </c>
      <c r="C715" s="31" t="s">
        <v>539</v>
      </c>
      <c r="D715" s="31" t="s">
        <v>483</v>
      </c>
      <c r="E715" s="31" t="s">
        <v>472</v>
      </c>
      <c r="F715" s="31" t="str">
        <f>IF(H715=1,INDEX('Match Results'!$G$6:$G$185,MATCH(A715,'Match Results'!$A$6:$A$185,0)),INDEX('Match Results'!$H$6:$H$185,MATCH(A715,'Match Results'!$A$6:$A$185,0)))</f>
        <v>A4</v>
      </c>
      <c r="G715" s="31" t="str">
        <f>IF(H715=1,INDEX('Match Results'!$H$6:$H$185,MATCH(A715,'Match Results'!$A$6:$A$185,0)),INDEX('Match Results'!$G$6:$G$185,MATCH(A715,'Match Results'!$A$6:$A$185,0)))</f>
        <v>B3</v>
      </c>
      <c r="H715" s="31">
        <v>1</v>
      </c>
      <c r="I715" s="31">
        <v>2</v>
      </c>
      <c r="J715" s="32"/>
      <c r="K715" s="31" t="str">
        <f>IF(J715="","",IFERROR(INDEX('Team Rosters'!$C$6:$C$205,MATCH(J715,'Team Rosters'!$B$6:$B$205,0)),"CODE NOT FOUND"))</f>
        <v/>
      </c>
      <c r="L715" s="31" t="str">
        <f t="shared" si="33"/>
        <v/>
      </c>
      <c r="M715" s="31" t="str">
        <f>IF(OR(J715="",C715&lt;&gt;"League",L715&lt;&gt;"VALID"),"",COUNTIFS($J$6:J715,J715,$G$6:G715,G715,$C$6:C715,"League"))</f>
        <v/>
      </c>
      <c r="N715" s="31" t="str">
        <f t="shared" si="34"/>
        <v/>
      </c>
      <c r="O715" s="37" t="str">
        <f t="shared" si="35"/>
        <v/>
      </c>
    </row>
    <row r="716" spans="1:15" ht="15">
      <c r="A716" s="30">
        <v>148</v>
      </c>
      <c r="B716" s="31" t="s">
        <v>538</v>
      </c>
      <c r="C716" s="31" t="s">
        <v>539</v>
      </c>
      <c r="D716" s="31" t="s">
        <v>483</v>
      </c>
      <c r="E716" s="31" t="s">
        <v>472</v>
      </c>
      <c r="F716" s="31" t="str">
        <f>IF(H716=1,INDEX('Match Results'!$G$6:$G$185,MATCH(A716,'Match Results'!$A$6:$A$185,0)),INDEX('Match Results'!$H$6:$H$185,MATCH(A716,'Match Results'!$A$6:$A$185,0)))</f>
        <v>B3</v>
      </c>
      <c r="G716" s="31" t="str">
        <f>IF(H716=1,INDEX('Match Results'!$H$6:$H$185,MATCH(A716,'Match Results'!$A$6:$A$185,0)),INDEX('Match Results'!$G$6:$G$185,MATCH(A716,'Match Results'!$A$6:$A$185,0)))</f>
        <v>A4</v>
      </c>
      <c r="H716" s="31">
        <v>2</v>
      </c>
      <c r="I716" s="31">
        <v>3</v>
      </c>
      <c r="J716" s="32"/>
      <c r="K716" s="31" t="str">
        <f>IF(J716="","",IFERROR(INDEX('Team Rosters'!$C$6:$C$205,MATCH(J716,'Team Rosters'!$B$6:$B$205,0)),"CODE NOT FOUND"))</f>
        <v/>
      </c>
      <c r="L716" s="31" t="str">
        <f t="shared" si="33"/>
        <v/>
      </c>
      <c r="M716" s="31" t="str">
        <f>IF(OR(J716="",C716&lt;&gt;"League",L716&lt;&gt;"VALID"),"",COUNTIFS($J$6:J716,J716,$G$6:G716,G716,$C$6:C716,"League"))</f>
        <v/>
      </c>
      <c r="N716" s="31" t="str">
        <f t="shared" si="34"/>
        <v/>
      </c>
      <c r="O716" s="37" t="str">
        <f t="shared" si="35"/>
        <v/>
      </c>
    </row>
    <row r="717" spans="1:15" ht="15">
      <c r="A717" s="30">
        <v>148</v>
      </c>
      <c r="B717" s="31" t="s">
        <v>538</v>
      </c>
      <c r="C717" s="31" t="s">
        <v>539</v>
      </c>
      <c r="D717" s="31" t="s">
        <v>483</v>
      </c>
      <c r="E717" s="31" t="s">
        <v>472</v>
      </c>
      <c r="F717" s="31" t="str">
        <f>IF(H717=1,INDEX('Match Results'!$G$6:$G$185,MATCH(A717,'Match Results'!$A$6:$A$185,0)),INDEX('Match Results'!$H$6:$H$185,MATCH(A717,'Match Results'!$A$6:$A$185,0)))</f>
        <v>B3</v>
      </c>
      <c r="G717" s="31" t="str">
        <f>IF(H717=1,INDEX('Match Results'!$H$6:$H$185,MATCH(A717,'Match Results'!$A$6:$A$185,0)),INDEX('Match Results'!$G$6:$G$185,MATCH(A717,'Match Results'!$A$6:$A$185,0)))</f>
        <v>A4</v>
      </c>
      <c r="H717" s="31">
        <v>2</v>
      </c>
      <c r="I717" s="31">
        <v>4</v>
      </c>
      <c r="J717" s="32"/>
      <c r="K717" s="31" t="str">
        <f>IF(J717="","",IFERROR(INDEX('Team Rosters'!$C$6:$C$205,MATCH(J717,'Team Rosters'!$B$6:$B$205,0)),"CODE NOT FOUND"))</f>
        <v/>
      </c>
      <c r="L717" s="31" t="str">
        <f t="shared" si="33"/>
        <v/>
      </c>
      <c r="M717" s="31" t="str">
        <f>IF(OR(J717="",C717&lt;&gt;"League",L717&lt;&gt;"VALID"),"",COUNTIFS($J$6:J717,J717,$G$6:G717,G717,$C$6:C717,"League"))</f>
        <v/>
      </c>
      <c r="N717" s="31" t="str">
        <f t="shared" si="34"/>
        <v/>
      </c>
      <c r="O717" s="37" t="str">
        <f t="shared" si="35"/>
        <v/>
      </c>
    </row>
    <row r="718" spans="1:15" ht="15">
      <c r="A718" s="30">
        <v>149</v>
      </c>
      <c r="B718" s="31" t="s">
        <v>538</v>
      </c>
      <c r="C718" s="31" t="s">
        <v>539</v>
      </c>
      <c r="D718" s="31" t="s">
        <v>483</v>
      </c>
      <c r="E718" s="31" t="s">
        <v>477</v>
      </c>
      <c r="F718" s="31" t="str">
        <f>IF(H718=1,INDEX('Match Results'!$G$6:$G$185,MATCH(A718,'Match Results'!$A$6:$A$185,0)),INDEX('Match Results'!$H$6:$H$185,MATCH(A718,'Match Results'!$A$6:$A$185,0)))</f>
        <v>A4</v>
      </c>
      <c r="G718" s="31" t="str">
        <f>IF(H718=1,INDEX('Match Results'!$H$6:$H$185,MATCH(A718,'Match Results'!$A$6:$A$185,0)),INDEX('Match Results'!$G$6:$G$185,MATCH(A718,'Match Results'!$A$6:$A$185,0)))</f>
        <v>B3</v>
      </c>
      <c r="H718" s="31">
        <v>1</v>
      </c>
      <c r="I718" s="31">
        <v>1</v>
      </c>
      <c r="J718" s="32"/>
      <c r="K718" s="31" t="str">
        <f>IF(J718="","",IFERROR(INDEX('Team Rosters'!$C$6:$C$205,MATCH(J718,'Team Rosters'!$B$6:$B$205,0)),"CODE NOT FOUND"))</f>
        <v/>
      </c>
      <c r="L718" s="31" t="str">
        <f t="shared" si="33"/>
        <v/>
      </c>
      <c r="M718" s="31" t="str">
        <f>IF(OR(J718="",C718&lt;&gt;"League",L718&lt;&gt;"VALID"),"",COUNTIFS($J$6:J718,J718,$G$6:G718,G718,$C$6:C718,"League"))</f>
        <v/>
      </c>
      <c r="N718" s="31" t="str">
        <f t="shared" si="34"/>
        <v/>
      </c>
      <c r="O718" s="37" t="str">
        <f t="shared" si="35"/>
        <v/>
      </c>
    </row>
    <row r="719" spans="1:15" ht="15">
      <c r="A719" s="30">
        <v>149</v>
      </c>
      <c r="B719" s="31" t="s">
        <v>538</v>
      </c>
      <c r="C719" s="31" t="s">
        <v>539</v>
      </c>
      <c r="D719" s="31" t="s">
        <v>483</v>
      </c>
      <c r="E719" s="31" t="s">
        <v>477</v>
      </c>
      <c r="F719" s="31" t="str">
        <f>IF(H719=1,INDEX('Match Results'!$G$6:$G$185,MATCH(A719,'Match Results'!$A$6:$A$185,0)),INDEX('Match Results'!$H$6:$H$185,MATCH(A719,'Match Results'!$A$6:$A$185,0)))</f>
        <v>A4</v>
      </c>
      <c r="G719" s="31" t="str">
        <f>IF(H719=1,INDEX('Match Results'!$H$6:$H$185,MATCH(A719,'Match Results'!$A$6:$A$185,0)),INDEX('Match Results'!$G$6:$G$185,MATCH(A719,'Match Results'!$A$6:$A$185,0)))</f>
        <v>B3</v>
      </c>
      <c r="H719" s="31">
        <v>1</v>
      </c>
      <c r="I719" s="31">
        <v>2</v>
      </c>
      <c r="J719" s="32"/>
      <c r="K719" s="31" t="str">
        <f>IF(J719="","",IFERROR(INDEX('Team Rosters'!$C$6:$C$205,MATCH(J719,'Team Rosters'!$B$6:$B$205,0)),"CODE NOT FOUND"))</f>
        <v/>
      </c>
      <c r="L719" s="31" t="str">
        <f t="shared" si="33"/>
        <v/>
      </c>
      <c r="M719" s="31" t="str">
        <f>IF(OR(J719="",C719&lt;&gt;"League",L719&lt;&gt;"VALID"),"",COUNTIFS($J$6:J719,J719,$G$6:G719,G719,$C$6:C719,"League"))</f>
        <v/>
      </c>
      <c r="N719" s="31" t="str">
        <f t="shared" si="34"/>
        <v/>
      </c>
      <c r="O719" s="37" t="str">
        <f t="shared" si="35"/>
        <v/>
      </c>
    </row>
    <row r="720" spans="1:15" ht="15">
      <c r="A720" s="30">
        <v>149</v>
      </c>
      <c r="B720" s="31" t="s">
        <v>538</v>
      </c>
      <c r="C720" s="31" t="s">
        <v>539</v>
      </c>
      <c r="D720" s="31" t="s">
        <v>483</v>
      </c>
      <c r="E720" s="31" t="s">
        <v>477</v>
      </c>
      <c r="F720" s="31" t="str">
        <f>IF(H720=1,INDEX('Match Results'!$G$6:$G$185,MATCH(A720,'Match Results'!$A$6:$A$185,0)),INDEX('Match Results'!$H$6:$H$185,MATCH(A720,'Match Results'!$A$6:$A$185,0)))</f>
        <v>B3</v>
      </c>
      <c r="G720" s="31" t="str">
        <f>IF(H720=1,INDEX('Match Results'!$H$6:$H$185,MATCH(A720,'Match Results'!$A$6:$A$185,0)),INDEX('Match Results'!$G$6:$G$185,MATCH(A720,'Match Results'!$A$6:$A$185,0)))</f>
        <v>A4</v>
      </c>
      <c r="H720" s="31">
        <v>2</v>
      </c>
      <c r="I720" s="31">
        <v>3</v>
      </c>
      <c r="J720" s="32"/>
      <c r="K720" s="31" t="str">
        <f>IF(J720="","",IFERROR(INDEX('Team Rosters'!$C$6:$C$205,MATCH(J720,'Team Rosters'!$B$6:$B$205,0)),"CODE NOT FOUND"))</f>
        <v/>
      </c>
      <c r="L720" s="31" t="str">
        <f t="shared" si="33"/>
        <v/>
      </c>
      <c r="M720" s="31" t="str">
        <f>IF(OR(J720="",C720&lt;&gt;"League",L720&lt;&gt;"VALID"),"",COUNTIFS($J$6:J720,J720,$G$6:G720,G720,$C$6:C720,"League"))</f>
        <v/>
      </c>
      <c r="N720" s="31" t="str">
        <f t="shared" si="34"/>
        <v/>
      </c>
      <c r="O720" s="37" t="str">
        <f t="shared" si="35"/>
        <v/>
      </c>
    </row>
    <row r="721" spans="1:15" ht="15">
      <c r="A721" s="30">
        <v>149</v>
      </c>
      <c r="B721" s="31" t="s">
        <v>538</v>
      </c>
      <c r="C721" s="31" t="s">
        <v>539</v>
      </c>
      <c r="D721" s="31" t="s">
        <v>483</v>
      </c>
      <c r="E721" s="31" t="s">
        <v>477</v>
      </c>
      <c r="F721" s="31" t="str">
        <f>IF(H721=1,INDEX('Match Results'!$G$6:$G$185,MATCH(A721,'Match Results'!$A$6:$A$185,0)),INDEX('Match Results'!$H$6:$H$185,MATCH(A721,'Match Results'!$A$6:$A$185,0)))</f>
        <v>B3</v>
      </c>
      <c r="G721" s="31" t="str">
        <f>IF(H721=1,INDEX('Match Results'!$H$6:$H$185,MATCH(A721,'Match Results'!$A$6:$A$185,0)),INDEX('Match Results'!$G$6:$G$185,MATCH(A721,'Match Results'!$A$6:$A$185,0)))</f>
        <v>A4</v>
      </c>
      <c r="H721" s="31">
        <v>2</v>
      </c>
      <c r="I721" s="31">
        <v>4</v>
      </c>
      <c r="J721" s="32"/>
      <c r="K721" s="31" t="str">
        <f>IF(J721="","",IFERROR(INDEX('Team Rosters'!$C$6:$C$205,MATCH(J721,'Team Rosters'!$B$6:$B$205,0)),"CODE NOT FOUND"))</f>
        <v/>
      </c>
      <c r="L721" s="31" t="str">
        <f t="shared" si="33"/>
        <v/>
      </c>
      <c r="M721" s="31" t="str">
        <f>IF(OR(J721="",C721&lt;&gt;"League",L721&lt;&gt;"VALID"),"",COUNTIFS($J$6:J721,J721,$G$6:G721,G721,$C$6:C721,"League"))</f>
        <v/>
      </c>
      <c r="N721" s="31" t="str">
        <f t="shared" si="34"/>
        <v/>
      </c>
      <c r="O721" s="37" t="str">
        <f t="shared" si="35"/>
        <v/>
      </c>
    </row>
    <row r="722" spans="1:15" ht="15">
      <c r="A722" s="30">
        <v>150</v>
      </c>
      <c r="B722" s="31" t="s">
        <v>542</v>
      </c>
      <c r="C722" s="31" t="s">
        <v>543</v>
      </c>
      <c r="D722" s="31" t="s">
        <v>486</v>
      </c>
      <c r="E722" s="31" t="s">
        <v>472</v>
      </c>
      <c r="F722" s="31" t="str">
        <f>IF(H722=1,INDEX('Match Results'!$G$6:$G$185,MATCH(A722,'Match Results'!$A$6:$A$185,0)),INDEX('Match Results'!$H$6:$H$185,MATCH(A722,'Match Results'!$A$6:$A$185,0)))</f>
        <v>A4</v>
      </c>
      <c r="G722" s="31" t="str">
        <f>IF(H722=1,INDEX('Match Results'!$H$6:$H$185,MATCH(A722,'Match Results'!$A$6:$A$185,0)),INDEX('Match Results'!$G$6:$G$185,MATCH(A722,'Match Results'!$A$6:$A$185,0)))</f>
        <v>B4</v>
      </c>
      <c r="H722" s="31">
        <v>1</v>
      </c>
      <c r="I722" s="31">
        <v>1</v>
      </c>
      <c r="J722" s="32"/>
      <c r="K722" s="31" t="str">
        <f>IF(J722="","",IFERROR(INDEX('Team Rosters'!$C$6:$C$205,MATCH(J722,'Team Rosters'!$B$6:$B$205,0)),"CODE NOT FOUND"))</f>
        <v/>
      </c>
      <c r="L722" s="31" t="str">
        <f t="shared" si="33"/>
        <v/>
      </c>
      <c r="M722" s="31" t="str">
        <f>IF(OR(J722="",C722&lt;&gt;"League",L722&lt;&gt;"VALID"),"",COUNTIFS($J$6:J722,J722,$G$6:G722,G722,$C$6:C722,"League"))</f>
        <v/>
      </c>
      <c r="N722" s="31" t="str">
        <f t="shared" si="34"/>
        <v/>
      </c>
      <c r="O722" s="37" t="str">
        <f t="shared" si="35"/>
        <v/>
      </c>
    </row>
    <row r="723" spans="1:15" ht="15">
      <c r="A723" s="30">
        <v>150</v>
      </c>
      <c r="B723" s="31" t="s">
        <v>542</v>
      </c>
      <c r="C723" s="31" t="s">
        <v>543</v>
      </c>
      <c r="D723" s="31" t="s">
        <v>486</v>
      </c>
      <c r="E723" s="31" t="s">
        <v>472</v>
      </c>
      <c r="F723" s="31" t="str">
        <f>IF(H723=1,INDEX('Match Results'!$G$6:$G$185,MATCH(A723,'Match Results'!$A$6:$A$185,0)),INDEX('Match Results'!$H$6:$H$185,MATCH(A723,'Match Results'!$A$6:$A$185,0)))</f>
        <v>A4</v>
      </c>
      <c r="G723" s="31" t="str">
        <f>IF(H723=1,INDEX('Match Results'!$H$6:$H$185,MATCH(A723,'Match Results'!$A$6:$A$185,0)),INDEX('Match Results'!$G$6:$G$185,MATCH(A723,'Match Results'!$A$6:$A$185,0)))</f>
        <v>B4</v>
      </c>
      <c r="H723" s="31">
        <v>1</v>
      </c>
      <c r="I723" s="31">
        <v>2</v>
      </c>
      <c r="J723" s="32"/>
      <c r="K723" s="31" t="str">
        <f>IF(J723="","",IFERROR(INDEX('Team Rosters'!$C$6:$C$205,MATCH(J723,'Team Rosters'!$B$6:$B$205,0)),"CODE NOT FOUND"))</f>
        <v/>
      </c>
      <c r="L723" s="31" t="str">
        <f t="shared" si="33"/>
        <v/>
      </c>
      <c r="M723" s="31" t="str">
        <f>IF(OR(J723="",C723&lt;&gt;"League",L723&lt;&gt;"VALID"),"",COUNTIFS($J$6:J723,J723,$G$6:G723,G723,$C$6:C723,"League"))</f>
        <v/>
      </c>
      <c r="N723" s="31" t="str">
        <f t="shared" si="34"/>
        <v/>
      </c>
      <c r="O723" s="37" t="str">
        <f t="shared" si="35"/>
        <v/>
      </c>
    </row>
    <row r="724" spans="1:15" ht="15">
      <c r="A724" s="30">
        <v>150</v>
      </c>
      <c r="B724" s="31" t="s">
        <v>542</v>
      </c>
      <c r="C724" s="31" t="s">
        <v>543</v>
      </c>
      <c r="D724" s="31" t="s">
        <v>486</v>
      </c>
      <c r="E724" s="31" t="s">
        <v>472</v>
      </c>
      <c r="F724" s="31" t="str">
        <f>IF(H724=1,INDEX('Match Results'!$G$6:$G$185,MATCH(A724,'Match Results'!$A$6:$A$185,0)),INDEX('Match Results'!$H$6:$H$185,MATCH(A724,'Match Results'!$A$6:$A$185,0)))</f>
        <v>B4</v>
      </c>
      <c r="G724" s="31" t="str">
        <f>IF(H724=1,INDEX('Match Results'!$H$6:$H$185,MATCH(A724,'Match Results'!$A$6:$A$185,0)),INDEX('Match Results'!$G$6:$G$185,MATCH(A724,'Match Results'!$A$6:$A$185,0)))</f>
        <v>A4</v>
      </c>
      <c r="H724" s="31">
        <v>2</v>
      </c>
      <c r="I724" s="31">
        <v>3</v>
      </c>
      <c r="J724" s="32"/>
      <c r="K724" s="31" t="str">
        <f>IF(J724="","",IFERROR(INDEX('Team Rosters'!$C$6:$C$205,MATCH(J724,'Team Rosters'!$B$6:$B$205,0)),"CODE NOT FOUND"))</f>
        <v/>
      </c>
      <c r="L724" s="31" t="str">
        <f t="shared" si="33"/>
        <v/>
      </c>
      <c r="M724" s="31" t="str">
        <f>IF(OR(J724="",C724&lt;&gt;"League",L724&lt;&gt;"VALID"),"",COUNTIFS($J$6:J724,J724,$G$6:G724,G724,$C$6:C724,"League"))</f>
        <v/>
      </c>
      <c r="N724" s="31" t="str">
        <f t="shared" si="34"/>
        <v/>
      </c>
      <c r="O724" s="37" t="str">
        <f t="shared" si="35"/>
        <v/>
      </c>
    </row>
    <row r="725" spans="1:15" ht="15">
      <c r="A725" s="30">
        <v>150</v>
      </c>
      <c r="B725" s="31" t="s">
        <v>542</v>
      </c>
      <c r="C725" s="31" t="s">
        <v>543</v>
      </c>
      <c r="D725" s="31" t="s">
        <v>486</v>
      </c>
      <c r="E725" s="31" t="s">
        <v>472</v>
      </c>
      <c r="F725" s="31" t="str">
        <f>IF(H725=1,INDEX('Match Results'!$G$6:$G$185,MATCH(A725,'Match Results'!$A$6:$A$185,0)),INDEX('Match Results'!$H$6:$H$185,MATCH(A725,'Match Results'!$A$6:$A$185,0)))</f>
        <v>B4</v>
      </c>
      <c r="G725" s="31" t="str">
        <f>IF(H725=1,INDEX('Match Results'!$H$6:$H$185,MATCH(A725,'Match Results'!$A$6:$A$185,0)),INDEX('Match Results'!$G$6:$G$185,MATCH(A725,'Match Results'!$A$6:$A$185,0)))</f>
        <v>A4</v>
      </c>
      <c r="H725" s="31">
        <v>2</v>
      </c>
      <c r="I725" s="31">
        <v>4</v>
      </c>
      <c r="J725" s="32"/>
      <c r="K725" s="31" t="str">
        <f>IF(J725="","",IFERROR(INDEX('Team Rosters'!$C$6:$C$205,MATCH(J725,'Team Rosters'!$B$6:$B$205,0)),"CODE NOT FOUND"))</f>
        <v/>
      </c>
      <c r="L725" s="31" t="str">
        <f t="shared" si="33"/>
        <v/>
      </c>
      <c r="M725" s="31" t="str">
        <f>IF(OR(J725="",C725&lt;&gt;"League",L725&lt;&gt;"VALID"),"",COUNTIFS($J$6:J725,J725,$G$6:G725,G725,$C$6:C725,"League"))</f>
        <v/>
      </c>
      <c r="N725" s="31" t="str">
        <f t="shared" si="34"/>
        <v/>
      </c>
      <c r="O725" s="37" t="str">
        <f t="shared" si="35"/>
        <v/>
      </c>
    </row>
    <row r="726" spans="1:15" ht="15">
      <c r="A726" s="30">
        <v>151</v>
      </c>
      <c r="B726" s="31" t="s">
        <v>542</v>
      </c>
      <c r="C726" s="31" t="s">
        <v>543</v>
      </c>
      <c r="D726" s="31" t="s">
        <v>486</v>
      </c>
      <c r="E726" s="31" t="s">
        <v>475</v>
      </c>
      <c r="F726" s="31" t="str">
        <f>IF(H726=1,INDEX('Match Results'!$G$6:$G$185,MATCH(A726,'Match Results'!$A$6:$A$185,0)),INDEX('Match Results'!$H$6:$H$185,MATCH(A726,'Match Results'!$A$6:$A$185,0)))</f>
        <v>A3</v>
      </c>
      <c r="G726" s="31" t="str">
        <f>IF(H726=1,INDEX('Match Results'!$H$6:$H$185,MATCH(A726,'Match Results'!$A$6:$A$185,0)),INDEX('Match Results'!$G$6:$G$185,MATCH(A726,'Match Results'!$A$6:$A$185,0)))</f>
        <v>B4</v>
      </c>
      <c r="H726" s="31">
        <v>1</v>
      </c>
      <c r="I726" s="31">
        <v>1</v>
      </c>
      <c r="J726" s="32"/>
      <c r="K726" s="31" t="str">
        <f>IF(J726="","",IFERROR(INDEX('Team Rosters'!$C$6:$C$205,MATCH(J726,'Team Rosters'!$B$6:$B$205,0)),"CODE NOT FOUND"))</f>
        <v/>
      </c>
      <c r="L726" s="31" t="str">
        <f t="shared" si="33"/>
        <v/>
      </c>
      <c r="M726" s="31" t="str">
        <f>IF(OR(J726="",C726&lt;&gt;"League",L726&lt;&gt;"VALID"),"",COUNTIFS($J$6:J726,J726,$G$6:G726,G726,$C$6:C726,"League"))</f>
        <v/>
      </c>
      <c r="N726" s="31" t="str">
        <f t="shared" si="34"/>
        <v/>
      </c>
      <c r="O726" s="37" t="str">
        <f t="shared" si="35"/>
        <v/>
      </c>
    </row>
    <row r="727" spans="1:15" ht="15">
      <c r="A727" s="30">
        <v>151</v>
      </c>
      <c r="B727" s="31" t="s">
        <v>542</v>
      </c>
      <c r="C727" s="31" t="s">
        <v>543</v>
      </c>
      <c r="D727" s="31" t="s">
        <v>486</v>
      </c>
      <c r="E727" s="31" t="s">
        <v>475</v>
      </c>
      <c r="F727" s="31" t="str">
        <f>IF(H727=1,INDEX('Match Results'!$G$6:$G$185,MATCH(A727,'Match Results'!$A$6:$A$185,0)),INDEX('Match Results'!$H$6:$H$185,MATCH(A727,'Match Results'!$A$6:$A$185,0)))</f>
        <v>A3</v>
      </c>
      <c r="G727" s="31" t="str">
        <f>IF(H727=1,INDEX('Match Results'!$H$6:$H$185,MATCH(A727,'Match Results'!$A$6:$A$185,0)),INDEX('Match Results'!$G$6:$G$185,MATCH(A727,'Match Results'!$A$6:$A$185,0)))</f>
        <v>B4</v>
      </c>
      <c r="H727" s="31">
        <v>1</v>
      </c>
      <c r="I727" s="31">
        <v>2</v>
      </c>
      <c r="J727" s="32"/>
      <c r="K727" s="31" t="str">
        <f>IF(J727="","",IFERROR(INDEX('Team Rosters'!$C$6:$C$205,MATCH(J727,'Team Rosters'!$B$6:$B$205,0)),"CODE NOT FOUND"))</f>
        <v/>
      </c>
      <c r="L727" s="31" t="str">
        <f t="shared" si="33"/>
        <v/>
      </c>
      <c r="M727" s="31" t="str">
        <f>IF(OR(J727="",C727&lt;&gt;"League",L727&lt;&gt;"VALID"),"",COUNTIFS($J$6:J727,J727,$G$6:G727,G727,$C$6:C727,"League"))</f>
        <v/>
      </c>
      <c r="N727" s="31" t="str">
        <f t="shared" si="34"/>
        <v/>
      </c>
      <c r="O727" s="37" t="str">
        <f t="shared" si="35"/>
        <v/>
      </c>
    </row>
    <row r="728" spans="1:15" ht="15">
      <c r="A728" s="30">
        <v>151</v>
      </c>
      <c r="B728" s="31" t="s">
        <v>542</v>
      </c>
      <c r="C728" s="31" t="s">
        <v>543</v>
      </c>
      <c r="D728" s="31" t="s">
        <v>486</v>
      </c>
      <c r="E728" s="31" t="s">
        <v>475</v>
      </c>
      <c r="F728" s="31" t="str">
        <f>IF(H728=1,INDEX('Match Results'!$G$6:$G$185,MATCH(A728,'Match Results'!$A$6:$A$185,0)),INDEX('Match Results'!$H$6:$H$185,MATCH(A728,'Match Results'!$A$6:$A$185,0)))</f>
        <v>B4</v>
      </c>
      <c r="G728" s="31" t="str">
        <f>IF(H728=1,INDEX('Match Results'!$H$6:$H$185,MATCH(A728,'Match Results'!$A$6:$A$185,0)),INDEX('Match Results'!$G$6:$G$185,MATCH(A728,'Match Results'!$A$6:$A$185,0)))</f>
        <v>A3</v>
      </c>
      <c r="H728" s="31">
        <v>2</v>
      </c>
      <c r="I728" s="31">
        <v>3</v>
      </c>
      <c r="J728" s="32"/>
      <c r="K728" s="31" t="str">
        <f>IF(J728="","",IFERROR(INDEX('Team Rosters'!$C$6:$C$205,MATCH(J728,'Team Rosters'!$B$6:$B$205,0)),"CODE NOT FOUND"))</f>
        <v/>
      </c>
      <c r="L728" s="31" t="str">
        <f t="shared" si="33"/>
        <v/>
      </c>
      <c r="M728" s="31" t="str">
        <f>IF(OR(J728="",C728&lt;&gt;"League",L728&lt;&gt;"VALID"),"",COUNTIFS($J$6:J728,J728,$G$6:G728,G728,$C$6:C728,"League"))</f>
        <v/>
      </c>
      <c r="N728" s="31" t="str">
        <f t="shared" si="34"/>
        <v/>
      </c>
      <c r="O728" s="37" t="str">
        <f t="shared" si="35"/>
        <v/>
      </c>
    </row>
    <row r="729" spans="1:15" ht="15">
      <c r="A729" s="30">
        <v>151</v>
      </c>
      <c r="B729" s="31" t="s">
        <v>542</v>
      </c>
      <c r="C729" s="31" t="s">
        <v>543</v>
      </c>
      <c r="D729" s="31" t="s">
        <v>486</v>
      </c>
      <c r="E729" s="31" t="s">
        <v>475</v>
      </c>
      <c r="F729" s="31" t="str">
        <f>IF(H729=1,INDEX('Match Results'!$G$6:$G$185,MATCH(A729,'Match Results'!$A$6:$A$185,0)),INDEX('Match Results'!$H$6:$H$185,MATCH(A729,'Match Results'!$A$6:$A$185,0)))</f>
        <v>B4</v>
      </c>
      <c r="G729" s="31" t="str">
        <f>IF(H729=1,INDEX('Match Results'!$H$6:$H$185,MATCH(A729,'Match Results'!$A$6:$A$185,0)),INDEX('Match Results'!$G$6:$G$185,MATCH(A729,'Match Results'!$A$6:$A$185,0)))</f>
        <v>A3</v>
      </c>
      <c r="H729" s="31">
        <v>2</v>
      </c>
      <c r="I729" s="31">
        <v>4</v>
      </c>
      <c r="J729" s="32"/>
      <c r="K729" s="31" t="str">
        <f>IF(J729="","",IFERROR(INDEX('Team Rosters'!$C$6:$C$205,MATCH(J729,'Team Rosters'!$B$6:$B$205,0)),"CODE NOT FOUND"))</f>
        <v/>
      </c>
      <c r="L729" s="31" t="str">
        <f t="shared" si="33"/>
        <v/>
      </c>
      <c r="M729" s="31" t="str">
        <f>IF(OR(J729="",C729&lt;&gt;"League",L729&lt;&gt;"VALID"),"",COUNTIFS($J$6:J729,J729,$G$6:G729,G729,$C$6:C729,"League"))</f>
        <v/>
      </c>
      <c r="N729" s="31" t="str">
        <f t="shared" si="34"/>
        <v/>
      </c>
      <c r="O729" s="37" t="str">
        <f t="shared" si="35"/>
        <v/>
      </c>
    </row>
    <row r="730" spans="1:15" ht="15">
      <c r="A730" s="30">
        <v>152</v>
      </c>
      <c r="B730" s="31" t="s">
        <v>542</v>
      </c>
      <c r="C730" s="31" t="s">
        <v>543</v>
      </c>
      <c r="D730" s="31" t="s">
        <v>486</v>
      </c>
      <c r="E730" s="31" t="s">
        <v>477</v>
      </c>
      <c r="F730" s="31" t="str">
        <f>IF(H730=1,INDEX('Match Results'!$G$6:$G$185,MATCH(A730,'Match Results'!$A$6:$A$185,0)),INDEX('Match Results'!$H$6:$H$185,MATCH(A730,'Match Results'!$A$6:$A$185,0)))</f>
        <v>A3</v>
      </c>
      <c r="G730" s="31" t="str">
        <f>IF(H730=1,INDEX('Match Results'!$H$6:$H$185,MATCH(A730,'Match Results'!$A$6:$A$185,0)),INDEX('Match Results'!$G$6:$G$185,MATCH(A730,'Match Results'!$A$6:$A$185,0)))</f>
        <v>B4</v>
      </c>
      <c r="H730" s="31">
        <v>1</v>
      </c>
      <c r="I730" s="31">
        <v>1</v>
      </c>
      <c r="J730" s="32"/>
      <c r="K730" s="31" t="str">
        <f>IF(J730="","",IFERROR(INDEX('Team Rosters'!$C$6:$C$205,MATCH(J730,'Team Rosters'!$B$6:$B$205,0)),"CODE NOT FOUND"))</f>
        <v/>
      </c>
      <c r="L730" s="31" t="str">
        <f t="shared" si="33"/>
        <v/>
      </c>
      <c r="M730" s="31" t="str">
        <f>IF(OR(J730="",C730&lt;&gt;"League",L730&lt;&gt;"VALID"),"",COUNTIFS($J$6:J730,J730,$G$6:G730,G730,$C$6:C730,"League"))</f>
        <v/>
      </c>
      <c r="N730" s="31" t="str">
        <f t="shared" si="34"/>
        <v/>
      </c>
      <c r="O730" s="37" t="str">
        <f t="shared" si="35"/>
        <v/>
      </c>
    </row>
    <row r="731" spans="1:15" ht="15">
      <c r="A731" s="30">
        <v>152</v>
      </c>
      <c r="B731" s="31" t="s">
        <v>542</v>
      </c>
      <c r="C731" s="31" t="s">
        <v>543</v>
      </c>
      <c r="D731" s="31" t="s">
        <v>486</v>
      </c>
      <c r="E731" s="31" t="s">
        <v>477</v>
      </c>
      <c r="F731" s="31" t="str">
        <f>IF(H731=1,INDEX('Match Results'!$G$6:$G$185,MATCH(A731,'Match Results'!$A$6:$A$185,0)),INDEX('Match Results'!$H$6:$H$185,MATCH(A731,'Match Results'!$A$6:$A$185,0)))</f>
        <v>A3</v>
      </c>
      <c r="G731" s="31" t="str">
        <f>IF(H731=1,INDEX('Match Results'!$H$6:$H$185,MATCH(A731,'Match Results'!$A$6:$A$185,0)),INDEX('Match Results'!$G$6:$G$185,MATCH(A731,'Match Results'!$A$6:$A$185,0)))</f>
        <v>B4</v>
      </c>
      <c r="H731" s="31">
        <v>1</v>
      </c>
      <c r="I731" s="31">
        <v>2</v>
      </c>
      <c r="J731" s="32"/>
      <c r="K731" s="31" t="str">
        <f>IF(J731="","",IFERROR(INDEX('Team Rosters'!$C$6:$C$205,MATCH(J731,'Team Rosters'!$B$6:$B$205,0)),"CODE NOT FOUND"))</f>
        <v/>
      </c>
      <c r="L731" s="31" t="str">
        <f t="shared" si="33"/>
        <v/>
      </c>
      <c r="M731" s="31" t="str">
        <f>IF(OR(J731="",C731&lt;&gt;"League",L731&lt;&gt;"VALID"),"",COUNTIFS($J$6:J731,J731,$G$6:G731,G731,$C$6:C731,"League"))</f>
        <v/>
      </c>
      <c r="N731" s="31" t="str">
        <f t="shared" si="34"/>
        <v/>
      </c>
      <c r="O731" s="37" t="str">
        <f t="shared" si="35"/>
        <v/>
      </c>
    </row>
    <row r="732" spans="1:15" ht="15">
      <c r="A732" s="30">
        <v>152</v>
      </c>
      <c r="B732" s="31" t="s">
        <v>542</v>
      </c>
      <c r="C732" s="31" t="s">
        <v>543</v>
      </c>
      <c r="D732" s="31" t="s">
        <v>486</v>
      </c>
      <c r="E732" s="31" t="s">
        <v>477</v>
      </c>
      <c r="F732" s="31" t="str">
        <f>IF(H732=1,INDEX('Match Results'!$G$6:$G$185,MATCH(A732,'Match Results'!$A$6:$A$185,0)),INDEX('Match Results'!$H$6:$H$185,MATCH(A732,'Match Results'!$A$6:$A$185,0)))</f>
        <v>B4</v>
      </c>
      <c r="G732" s="31" t="str">
        <f>IF(H732=1,INDEX('Match Results'!$H$6:$H$185,MATCH(A732,'Match Results'!$A$6:$A$185,0)),INDEX('Match Results'!$G$6:$G$185,MATCH(A732,'Match Results'!$A$6:$A$185,0)))</f>
        <v>A3</v>
      </c>
      <c r="H732" s="31">
        <v>2</v>
      </c>
      <c r="I732" s="31">
        <v>3</v>
      </c>
      <c r="J732" s="32"/>
      <c r="K732" s="31" t="str">
        <f>IF(J732="","",IFERROR(INDEX('Team Rosters'!$C$6:$C$205,MATCH(J732,'Team Rosters'!$B$6:$B$205,0)),"CODE NOT FOUND"))</f>
        <v/>
      </c>
      <c r="L732" s="31" t="str">
        <f t="shared" si="33"/>
        <v/>
      </c>
      <c r="M732" s="31" t="str">
        <f>IF(OR(J732="",C732&lt;&gt;"League",L732&lt;&gt;"VALID"),"",COUNTIFS($J$6:J732,J732,$G$6:G732,G732,$C$6:C732,"League"))</f>
        <v/>
      </c>
      <c r="N732" s="31" t="str">
        <f t="shared" si="34"/>
        <v/>
      </c>
      <c r="O732" s="37" t="str">
        <f t="shared" si="35"/>
        <v/>
      </c>
    </row>
    <row r="733" spans="1:15" ht="15">
      <c r="A733" s="30">
        <v>152</v>
      </c>
      <c r="B733" s="31" t="s">
        <v>542</v>
      </c>
      <c r="C733" s="31" t="s">
        <v>543</v>
      </c>
      <c r="D733" s="31" t="s">
        <v>486</v>
      </c>
      <c r="E733" s="31" t="s">
        <v>477</v>
      </c>
      <c r="F733" s="31" t="str">
        <f>IF(H733=1,INDEX('Match Results'!$G$6:$G$185,MATCH(A733,'Match Results'!$A$6:$A$185,0)),INDEX('Match Results'!$H$6:$H$185,MATCH(A733,'Match Results'!$A$6:$A$185,0)))</f>
        <v>B4</v>
      </c>
      <c r="G733" s="31" t="str">
        <f>IF(H733=1,INDEX('Match Results'!$H$6:$H$185,MATCH(A733,'Match Results'!$A$6:$A$185,0)),INDEX('Match Results'!$G$6:$G$185,MATCH(A733,'Match Results'!$A$6:$A$185,0)))</f>
        <v>A3</v>
      </c>
      <c r="H733" s="31">
        <v>2</v>
      </c>
      <c r="I733" s="31">
        <v>4</v>
      </c>
      <c r="J733" s="32"/>
      <c r="K733" s="31" t="str">
        <f>IF(J733="","",IFERROR(INDEX('Team Rosters'!$C$6:$C$205,MATCH(J733,'Team Rosters'!$B$6:$B$205,0)),"CODE NOT FOUND"))</f>
        <v/>
      </c>
      <c r="L733" s="31" t="str">
        <f t="shared" si="33"/>
        <v/>
      </c>
      <c r="M733" s="31" t="str">
        <f>IF(OR(J733="",C733&lt;&gt;"League",L733&lt;&gt;"VALID"),"",COUNTIFS($J$6:J733,J733,$G$6:G733,G733,$C$6:C733,"League"))</f>
        <v/>
      </c>
      <c r="N733" s="31" t="str">
        <f t="shared" si="34"/>
        <v/>
      </c>
      <c r="O733" s="37" t="str">
        <f t="shared" si="35"/>
        <v/>
      </c>
    </row>
    <row r="734" spans="1:15" ht="15">
      <c r="A734" s="30">
        <v>153</v>
      </c>
      <c r="B734" s="31" t="s">
        <v>542</v>
      </c>
      <c r="C734" s="31" t="s">
        <v>543</v>
      </c>
      <c r="D734" s="31" t="s">
        <v>483</v>
      </c>
      <c r="E734" s="31" t="s">
        <v>472</v>
      </c>
      <c r="F734" s="31" t="str">
        <f>IF(H734=1,INDEX('Match Results'!$G$6:$G$185,MATCH(A734,'Match Results'!$A$6:$A$185,0)),INDEX('Match Results'!$H$6:$H$185,MATCH(A734,'Match Results'!$A$6:$A$185,0)))</f>
        <v>A3</v>
      </c>
      <c r="G734" s="31" t="str">
        <f>IF(H734=1,INDEX('Match Results'!$H$6:$H$185,MATCH(A734,'Match Results'!$A$6:$A$185,0)),INDEX('Match Results'!$G$6:$G$185,MATCH(A734,'Match Results'!$A$6:$A$185,0)))</f>
        <v>B4</v>
      </c>
      <c r="H734" s="31">
        <v>1</v>
      </c>
      <c r="I734" s="31">
        <v>1</v>
      </c>
      <c r="J734" s="32"/>
      <c r="K734" s="31" t="str">
        <f>IF(J734="","",IFERROR(INDEX('Team Rosters'!$C$6:$C$205,MATCH(J734,'Team Rosters'!$B$6:$B$205,0)),"CODE NOT FOUND"))</f>
        <v/>
      </c>
      <c r="L734" s="31" t="str">
        <f t="shared" si="33"/>
        <v/>
      </c>
      <c r="M734" s="31" t="str">
        <f>IF(OR(J734="",C734&lt;&gt;"League",L734&lt;&gt;"VALID"),"",COUNTIFS($J$6:J734,J734,$G$6:G734,G734,$C$6:C734,"League"))</f>
        <v/>
      </c>
      <c r="N734" s="31" t="str">
        <f t="shared" si="34"/>
        <v/>
      </c>
      <c r="O734" s="37" t="str">
        <f t="shared" si="35"/>
        <v/>
      </c>
    </row>
    <row r="735" spans="1:15" ht="15">
      <c r="A735" s="30">
        <v>153</v>
      </c>
      <c r="B735" s="31" t="s">
        <v>542</v>
      </c>
      <c r="C735" s="31" t="s">
        <v>543</v>
      </c>
      <c r="D735" s="31" t="s">
        <v>483</v>
      </c>
      <c r="E735" s="31" t="s">
        <v>472</v>
      </c>
      <c r="F735" s="31" t="str">
        <f>IF(H735=1,INDEX('Match Results'!$G$6:$G$185,MATCH(A735,'Match Results'!$A$6:$A$185,0)),INDEX('Match Results'!$H$6:$H$185,MATCH(A735,'Match Results'!$A$6:$A$185,0)))</f>
        <v>A3</v>
      </c>
      <c r="G735" s="31" t="str">
        <f>IF(H735=1,INDEX('Match Results'!$H$6:$H$185,MATCH(A735,'Match Results'!$A$6:$A$185,0)),INDEX('Match Results'!$G$6:$G$185,MATCH(A735,'Match Results'!$A$6:$A$185,0)))</f>
        <v>B4</v>
      </c>
      <c r="H735" s="31">
        <v>1</v>
      </c>
      <c r="I735" s="31">
        <v>2</v>
      </c>
      <c r="J735" s="32"/>
      <c r="K735" s="31" t="str">
        <f>IF(J735="","",IFERROR(INDEX('Team Rosters'!$C$6:$C$205,MATCH(J735,'Team Rosters'!$B$6:$B$205,0)),"CODE NOT FOUND"))</f>
        <v/>
      </c>
      <c r="L735" s="31" t="str">
        <f t="shared" si="33"/>
        <v/>
      </c>
      <c r="M735" s="31" t="str">
        <f>IF(OR(J735="",C735&lt;&gt;"League",L735&lt;&gt;"VALID"),"",COUNTIFS($J$6:J735,J735,$G$6:G735,G735,$C$6:C735,"League"))</f>
        <v/>
      </c>
      <c r="N735" s="31" t="str">
        <f t="shared" si="34"/>
        <v/>
      </c>
      <c r="O735" s="37" t="str">
        <f t="shared" si="35"/>
        <v/>
      </c>
    </row>
    <row r="736" spans="1:15" ht="15">
      <c r="A736" s="30">
        <v>153</v>
      </c>
      <c r="B736" s="31" t="s">
        <v>542</v>
      </c>
      <c r="C736" s="31" t="s">
        <v>543</v>
      </c>
      <c r="D736" s="31" t="s">
        <v>483</v>
      </c>
      <c r="E736" s="31" t="s">
        <v>472</v>
      </c>
      <c r="F736" s="31" t="str">
        <f>IF(H736=1,INDEX('Match Results'!$G$6:$G$185,MATCH(A736,'Match Results'!$A$6:$A$185,0)),INDEX('Match Results'!$H$6:$H$185,MATCH(A736,'Match Results'!$A$6:$A$185,0)))</f>
        <v>B4</v>
      </c>
      <c r="G736" s="31" t="str">
        <f>IF(H736=1,INDEX('Match Results'!$H$6:$H$185,MATCH(A736,'Match Results'!$A$6:$A$185,0)),INDEX('Match Results'!$G$6:$G$185,MATCH(A736,'Match Results'!$A$6:$A$185,0)))</f>
        <v>A3</v>
      </c>
      <c r="H736" s="31">
        <v>2</v>
      </c>
      <c r="I736" s="31">
        <v>3</v>
      </c>
      <c r="J736" s="32"/>
      <c r="K736" s="31" t="str">
        <f>IF(J736="","",IFERROR(INDEX('Team Rosters'!$C$6:$C$205,MATCH(J736,'Team Rosters'!$B$6:$B$205,0)),"CODE NOT FOUND"))</f>
        <v/>
      </c>
      <c r="L736" s="31" t="str">
        <f t="shared" si="33"/>
        <v/>
      </c>
      <c r="M736" s="31" t="str">
        <f>IF(OR(J736="",C736&lt;&gt;"League",L736&lt;&gt;"VALID"),"",COUNTIFS($J$6:J736,J736,$G$6:G736,G736,$C$6:C736,"League"))</f>
        <v/>
      </c>
      <c r="N736" s="31" t="str">
        <f t="shared" si="34"/>
        <v/>
      </c>
      <c r="O736" s="37" t="str">
        <f t="shared" si="35"/>
        <v/>
      </c>
    </row>
    <row r="737" spans="1:15" ht="15">
      <c r="A737" s="30">
        <v>153</v>
      </c>
      <c r="B737" s="31" t="s">
        <v>542</v>
      </c>
      <c r="C737" s="31" t="s">
        <v>543</v>
      </c>
      <c r="D737" s="31" t="s">
        <v>483</v>
      </c>
      <c r="E737" s="31" t="s">
        <v>472</v>
      </c>
      <c r="F737" s="31" t="str">
        <f>IF(H737=1,INDEX('Match Results'!$G$6:$G$185,MATCH(A737,'Match Results'!$A$6:$A$185,0)),INDEX('Match Results'!$H$6:$H$185,MATCH(A737,'Match Results'!$A$6:$A$185,0)))</f>
        <v>B4</v>
      </c>
      <c r="G737" s="31" t="str">
        <f>IF(H737=1,INDEX('Match Results'!$H$6:$H$185,MATCH(A737,'Match Results'!$A$6:$A$185,0)),INDEX('Match Results'!$G$6:$G$185,MATCH(A737,'Match Results'!$A$6:$A$185,0)))</f>
        <v>A3</v>
      </c>
      <c r="H737" s="31">
        <v>2</v>
      </c>
      <c r="I737" s="31">
        <v>4</v>
      </c>
      <c r="J737" s="32"/>
      <c r="K737" s="31" t="str">
        <f>IF(J737="","",IFERROR(INDEX('Team Rosters'!$C$6:$C$205,MATCH(J737,'Team Rosters'!$B$6:$B$205,0)),"CODE NOT FOUND"))</f>
        <v/>
      </c>
      <c r="L737" s="31" t="str">
        <f t="shared" si="33"/>
        <v/>
      </c>
      <c r="M737" s="31" t="str">
        <f>IF(OR(J737="",C737&lt;&gt;"League",L737&lt;&gt;"VALID"),"",COUNTIFS($J$6:J737,J737,$G$6:G737,G737,$C$6:C737,"League"))</f>
        <v/>
      </c>
      <c r="N737" s="31" t="str">
        <f t="shared" si="34"/>
        <v/>
      </c>
      <c r="O737" s="37" t="str">
        <f t="shared" si="35"/>
        <v/>
      </c>
    </row>
    <row r="738" spans="1:15" ht="15">
      <c r="A738" s="30">
        <v>154</v>
      </c>
      <c r="B738" s="31" t="s">
        <v>542</v>
      </c>
      <c r="C738" s="31" t="s">
        <v>543</v>
      </c>
      <c r="D738" s="31" t="s">
        <v>483</v>
      </c>
      <c r="E738" s="31" t="s">
        <v>477</v>
      </c>
      <c r="F738" s="31" t="str">
        <f>IF(H738=1,INDEX('Match Results'!$G$6:$G$185,MATCH(A738,'Match Results'!$A$6:$A$185,0)),INDEX('Match Results'!$H$6:$H$185,MATCH(A738,'Match Results'!$A$6:$A$185,0)))</f>
        <v>A3</v>
      </c>
      <c r="G738" s="31" t="str">
        <f>IF(H738=1,INDEX('Match Results'!$H$6:$H$185,MATCH(A738,'Match Results'!$A$6:$A$185,0)),INDEX('Match Results'!$G$6:$G$185,MATCH(A738,'Match Results'!$A$6:$A$185,0)))</f>
        <v>B4</v>
      </c>
      <c r="H738" s="31">
        <v>1</v>
      </c>
      <c r="I738" s="31">
        <v>1</v>
      </c>
      <c r="J738" s="32"/>
      <c r="K738" s="31" t="str">
        <f>IF(J738="","",IFERROR(INDEX('Team Rosters'!$C$6:$C$205,MATCH(J738,'Team Rosters'!$B$6:$B$205,0)),"CODE NOT FOUND"))</f>
        <v/>
      </c>
      <c r="L738" s="31" t="str">
        <f t="shared" si="33"/>
        <v/>
      </c>
      <c r="M738" s="31" t="str">
        <f>IF(OR(J738="",C738&lt;&gt;"League",L738&lt;&gt;"VALID"),"",COUNTIFS($J$6:J738,J738,$G$6:G738,G738,$C$6:C738,"League"))</f>
        <v/>
      </c>
      <c r="N738" s="31" t="str">
        <f t="shared" si="34"/>
        <v/>
      </c>
      <c r="O738" s="37" t="str">
        <f t="shared" si="35"/>
        <v/>
      </c>
    </row>
    <row r="739" spans="1:15" ht="15">
      <c r="A739" s="30">
        <v>154</v>
      </c>
      <c r="B739" s="31" t="s">
        <v>542</v>
      </c>
      <c r="C739" s="31" t="s">
        <v>543</v>
      </c>
      <c r="D739" s="31" t="s">
        <v>483</v>
      </c>
      <c r="E739" s="31" t="s">
        <v>477</v>
      </c>
      <c r="F739" s="31" t="str">
        <f>IF(H739=1,INDEX('Match Results'!$G$6:$G$185,MATCH(A739,'Match Results'!$A$6:$A$185,0)),INDEX('Match Results'!$H$6:$H$185,MATCH(A739,'Match Results'!$A$6:$A$185,0)))</f>
        <v>A3</v>
      </c>
      <c r="G739" s="31" t="str">
        <f>IF(H739=1,INDEX('Match Results'!$H$6:$H$185,MATCH(A739,'Match Results'!$A$6:$A$185,0)),INDEX('Match Results'!$G$6:$G$185,MATCH(A739,'Match Results'!$A$6:$A$185,0)))</f>
        <v>B4</v>
      </c>
      <c r="H739" s="31">
        <v>1</v>
      </c>
      <c r="I739" s="31">
        <v>2</v>
      </c>
      <c r="J739" s="32"/>
      <c r="K739" s="31" t="str">
        <f>IF(J739="","",IFERROR(INDEX('Team Rosters'!$C$6:$C$205,MATCH(J739,'Team Rosters'!$B$6:$B$205,0)),"CODE NOT FOUND"))</f>
        <v/>
      </c>
      <c r="L739" s="31" t="str">
        <f t="shared" si="33"/>
        <v/>
      </c>
      <c r="M739" s="31" t="str">
        <f>IF(OR(J739="",C739&lt;&gt;"League",L739&lt;&gt;"VALID"),"",COUNTIFS($J$6:J739,J739,$G$6:G739,G739,$C$6:C739,"League"))</f>
        <v/>
      </c>
      <c r="N739" s="31" t="str">
        <f t="shared" si="34"/>
        <v/>
      </c>
      <c r="O739" s="37" t="str">
        <f t="shared" si="35"/>
        <v/>
      </c>
    </row>
    <row r="740" spans="1:15" ht="15">
      <c r="A740" s="30">
        <v>154</v>
      </c>
      <c r="B740" s="31" t="s">
        <v>542</v>
      </c>
      <c r="C740" s="31" t="s">
        <v>543</v>
      </c>
      <c r="D740" s="31" t="s">
        <v>483</v>
      </c>
      <c r="E740" s="31" t="s">
        <v>477</v>
      </c>
      <c r="F740" s="31" t="str">
        <f>IF(H740=1,INDEX('Match Results'!$G$6:$G$185,MATCH(A740,'Match Results'!$A$6:$A$185,0)),INDEX('Match Results'!$H$6:$H$185,MATCH(A740,'Match Results'!$A$6:$A$185,0)))</f>
        <v>B4</v>
      </c>
      <c r="G740" s="31" t="str">
        <f>IF(H740=1,INDEX('Match Results'!$H$6:$H$185,MATCH(A740,'Match Results'!$A$6:$A$185,0)),INDEX('Match Results'!$G$6:$G$185,MATCH(A740,'Match Results'!$A$6:$A$185,0)))</f>
        <v>A3</v>
      </c>
      <c r="H740" s="31">
        <v>2</v>
      </c>
      <c r="I740" s="31">
        <v>3</v>
      </c>
      <c r="J740" s="32"/>
      <c r="K740" s="31" t="str">
        <f>IF(J740="","",IFERROR(INDEX('Team Rosters'!$C$6:$C$205,MATCH(J740,'Team Rosters'!$B$6:$B$205,0)),"CODE NOT FOUND"))</f>
        <v/>
      </c>
      <c r="L740" s="31" t="str">
        <f t="shared" si="33"/>
        <v/>
      </c>
      <c r="M740" s="31" t="str">
        <f>IF(OR(J740="",C740&lt;&gt;"League",L740&lt;&gt;"VALID"),"",COUNTIFS($J$6:J740,J740,$G$6:G740,G740,$C$6:C740,"League"))</f>
        <v/>
      </c>
      <c r="N740" s="31" t="str">
        <f t="shared" si="34"/>
        <v/>
      </c>
      <c r="O740" s="37" t="str">
        <f t="shared" si="35"/>
        <v/>
      </c>
    </row>
    <row r="741" spans="1:15" ht="15">
      <c r="A741" s="30">
        <v>154</v>
      </c>
      <c r="B741" s="31" t="s">
        <v>542</v>
      </c>
      <c r="C741" s="31" t="s">
        <v>543</v>
      </c>
      <c r="D741" s="31" t="s">
        <v>483</v>
      </c>
      <c r="E741" s="31" t="s">
        <v>477</v>
      </c>
      <c r="F741" s="31" t="str">
        <f>IF(H741=1,INDEX('Match Results'!$G$6:$G$185,MATCH(A741,'Match Results'!$A$6:$A$185,0)),INDEX('Match Results'!$H$6:$H$185,MATCH(A741,'Match Results'!$A$6:$A$185,0)))</f>
        <v>B4</v>
      </c>
      <c r="G741" s="31" t="str">
        <f>IF(H741=1,INDEX('Match Results'!$H$6:$H$185,MATCH(A741,'Match Results'!$A$6:$A$185,0)),INDEX('Match Results'!$G$6:$G$185,MATCH(A741,'Match Results'!$A$6:$A$185,0)))</f>
        <v>A3</v>
      </c>
      <c r="H741" s="31">
        <v>2</v>
      </c>
      <c r="I741" s="31">
        <v>4</v>
      </c>
      <c r="J741" s="32"/>
      <c r="K741" s="31" t="str">
        <f>IF(J741="","",IFERROR(INDEX('Team Rosters'!$C$6:$C$205,MATCH(J741,'Team Rosters'!$B$6:$B$205,0)),"CODE NOT FOUND"))</f>
        <v/>
      </c>
      <c r="L741" s="31" t="str">
        <f t="shared" si="33"/>
        <v/>
      </c>
      <c r="M741" s="31" t="str">
        <f>IF(OR(J741="",C741&lt;&gt;"League",L741&lt;&gt;"VALID"),"",COUNTIFS($J$6:J741,J741,$G$6:G741,G741,$C$6:C741,"League"))</f>
        <v/>
      </c>
      <c r="N741" s="31" t="str">
        <f t="shared" si="34"/>
        <v/>
      </c>
      <c r="O741" s="37" t="str">
        <f t="shared" si="35"/>
        <v/>
      </c>
    </row>
    <row r="742" spans="1:15" ht="15">
      <c r="A742" s="30">
        <v>155</v>
      </c>
      <c r="B742" s="31" t="s">
        <v>545</v>
      </c>
      <c r="C742" s="31" t="s">
        <v>539</v>
      </c>
      <c r="D742" s="31" t="s">
        <v>471</v>
      </c>
      <c r="E742" s="31" t="s">
        <v>472</v>
      </c>
      <c r="F742" s="31" t="str">
        <f>IF(H742=1,INDEX('Match Results'!$G$6:$G$185,MATCH(A742,'Match Results'!$A$6:$A$185,0)),INDEX('Match Results'!$H$6:$H$185,MATCH(A742,'Match Results'!$A$6:$A$185,0)))</f>
        <v>A4</v>
      </c>
      <c r="G742" s="31" t="str">
        <f>IF(H742=1,INDEX('Match Results'!$H$6:$H$185,MATCH(A742,'Match Results'!$A$6:$A$185,0)),INDEX('Match Results'!$G$6:$G$185,MATCH(A742,'Match Results'!$A$6:$A$185,0)))</f>
        <v>B3</v>
      </c>
      <c r="H742" s="31">
        <v>1</v>
      </c>
      <c r="I742" s="31">
        <v>1</v>
      </c>
      <c r="J742" s="32"/>
      <c r="K742" s="31" t="str">
        <f>IF(J742="","",IFERROR(INDEX('Team Rosters'!$C$6:$C$205,MATCH(J742,'Team Rosters'!$B$6:$B$205,0)),"CODE NOT FOUND"))</f>
        <v/>
      </c>
      <c r="L742" s="31" t="str">
        <f t="shared" si="33"/>
        <v/>
      </c>
      <c r="M742" s="31" t="str">
        <f>IF(OR(J742="",C742&lt;&gt;"League",L742&lt;&gt;"VALID"),"",COUNTIFS($J$6:J742,J742,$G$6:G742,G742,$C$6:C742,"League"))</f>
        <v/>
      </c>
      <c r="N742" s="31" t="str">
        <f t="shared" si="34"/>
        <v/>
      </c>
      <c r="O742" s="37" t="str">
        <f t="shared" si="35"/>
        <v/>
      </c>
    </row>
    <row r="743" spans="1:15" ht="15">
      <c r="A743" s="30">
        <v>155</v>
      </c>
      <c r="B743" s="31" t="s">
        <v>545</v>
      </c>
      <c r="C743" s="31" t="s">
        <v>539</v>
      </c>
      <c r="D743" s="31" t="s">
        <v>471</v>
      </c>
      <c r="E743" s="31" t="s">
        <v>472</v>
      </c>
      <c r="F743" s="31" t="str">
        <f>IF(H743=1,INDEX('Match Results'!$G$6:$G$185,MATCH(A743,'Match Results'!$A$6:$A$185,0)),INDEX('Match Results'!$H$6:$H$185,MATCH(A743,'Match Results'!$A$6:$A$185,0)))</f>
        <v>A4</v>
      </c>
      <c r="G743" s="31" t="str">
        <f>IF(H743=1,INDEX('Match Results'!$H$6:$H$185,MATCH(A743,'Match Results'!$A$6:$A$185,0)),INDEX('Match Results'!$G$6:$G$185,MATCH(A743,'Match Results'!$A$6:$A$185,0)))</f>
        <v>B3</v>
      </c>
      <c r="H743" s="31">
        <v>1</v>
      </c>
      <c r="I743" s="31">
        <v>2</v>
      </c>
      <c r="J743" s="32"/>
      <c r="K743" s="31" t="str">
        <f>IF(J743="","",IFERROR(INDEX('Team Rosters'!$C$6:$C$205,MATCH(J743,'Team Rosters'!$B$6:$B$205,0)),"CODE NOT FOUND"))</f>
        <v/>
      </c>
      <c r="L743" s="31" t="str">
        <f t="shared" si="33"/>
        <v/>
      </c>
      <c r="M743" s="31" t="str">
        <f>IF(OR(J743="",C743&lt;&gt;"League",L743&lt;&gt;"VALID"),"",COUNTIFS($J$6:J743,J743,$G$6:G743,G743,$C$6:C743,"League"))</f>
        <v/>
      </c>
      <c r="N743" s="31" t="str">
        <f t="shared" si="34"/>
        <v/>
      </c>
      <c r="O743" s="37" t="str">
        <f t="shared" si="35"/>
        <v/>
      </c>
    </row>
    <row r="744" spans="1:15" ht="15">
      <c r="A744" s="30">
        <v>155</v>
      </c>
      <c r="B744" s="31" t="s">
        <v>545</v>
      </c>
      <c r="C744" s="31" t="s">
        <v>539</v>
      </c>
      <c r="D744" s="31" t="s">
        <v>471</v>
      </c>
      <c r="E744" s="31" t="s">
        <v>472</v>
      </c>
      <c r="F744" s="31" t="str">
        <f>IF(H744=1,INDEX('Match Results'!$G$6:$G$185,MATCH(A744,'Match Results'!$A$6:$A$185,0)),INDEX('Match Results'!$H$6:$H$185,MATCH(A744,'Match Results'!$A$6:$A$185,0)))</f>
        <v>B3</v>
      </c>
      <c r="G744" s="31" t="str">
        <f>IF(H744=1,INDEX('Match Results'!$H$6:$H$185,MATCH(A744,'Match Results'!$A$6:$A$185,0)),INDEX('Match Results'!$G$6:$G$185,MATCH(A744,'Match Results'!$A$6:$A$185,0)))</f>
        <v>A4</v>
      </c>
      <c r="H744" s="31">
        <v>2</v>
      </c>
      <c r="I744" s="31">
        <v>3</v>
      </c>
      <c r="J744" s="32"/>
      <c r="K744" s="31" t="str">
        <f>IF(J744="","",IFERROR(INDEX('Team Rosters'!$C$6:$C$205,MATCH(J744,'Team Rosters'!$B$6:$B$205,0)),"CODE NOT FOUND"))</f>
        <v/>
      </c>
      <c r="L744" s="31" t="str">
        <f t="shared" si="33"/>
        <v/>
      </c>
      <c r="M744" s="31" t="str">
        <f>IF(OR(J744="",C744&lt;&gt;"League",L744&lt;&gt;"VALID"),"",COUNTIFS($J$6:J744,J744,$G$6:G744,G744,$C$6:C744,"League"))</f>
        <v/>
      </c>
      <c r="N744" s="31" t="str">
        <f t="shared" si="34"/>
        <v/>
      </c>
      <c r="O744" s="37" t="str">
        <f t="shared" si="35"/>
        <v/>
      </c>
    </row>
    <row r="745" spans="1:15" ht="15">
      <c r="A745" s="30">
        <v>155</v>
      </c>
      <c r="B745" s="31" t="s">
        <v>545</v>
      </c>
      <c r="C745" s="31" t="s">
        <v>539</v>
      </c>
      <c r="D745" s="31" t="s">
        <v>471</v>
      </c>
      <c r="E745" s="31" t="s">
        <v>472</v>
      </c>
      <c r="F745" s="31" t="str">
        <f>IF(H745=1,INDEX('Match Results'!$G$6:$G$185,MATCH(A745,'Match Results'!$A$6:$A$185,0)),INDEX('Match Results'!$H$6:$H$185,MATCH(A745,'Match Results'!$A$6:$A$185,0)))</f>
        <v>B3</v>
      </c>
      <c r="G745" s="31" t="str">
        <f>IF(H745=1,INDEX('Match Results'!$H$6:$H$185,MATCH(A745,'Match Results'!$A$6:$A$185,0)),INDEX('Match Results'!$G$6:$G$185,MATCH(A745,'Match Results'!$A$6:$A$185,0)))</f>
        <v>A4</v>
      </c>
      <c r="H745" s="31">
        <v>2</v>
      </c>
      <c r="I745" s="31">
        <v>4</v>
      </c>
      <c r="J745" s="32"/>
      <c r="K745" s="31" t="str">
        <f>IF(J745="","",IFERROR(INDEX('Team Rosters'!$C$6:$C$205,MATCH(J745,'Team Rosters'!$B$6:$B$205,0)),"CODE NOT FOUND"))</f>
        <v/>
      </c>
      <c r="L745" s="31" t="str">
        <f t="shared" si="33"/>
        <v/>
      </c>
      <c r="M745" s="31" t="str">
        <f>IF(OR(J745="",C745&lt;&gt;"League",L745&lt;&gt;"VALID"),"",COUNTIFS($J$6:J745,J745,$G$6:G745,G745,$C$6:C745,"League"))</f>
        <v/>
      </c>
      <c r="N745" s="31" t="str">
        <f t="shared" si="34"/>
        <v/>
      </c>
      <c r="O745" s="37" t="str">
        <f t="shared" si="35"/>
        <v/>
      </c>
    </row>
    <row r="746" spans="1:15" ht="15">
      <c r="A746" s="30">
        <v>156</v>
      </c>
      <c r="B746" s="31" t="s">
        <v>545</v>
      </c>
      <c r="C746" s="31" t="s">
        <v>539</v>
      </c>
      <c r="D746" s="31" t="s">
        <v>471</v>
      </c>
      <c r="E746" s="31" t="s">
        <v>475</v>
      </c>
      <c r="F746" s="31" t="str">
        <f>IF(H746=1,INDEX('Match Results'!$G$6:$G$185,MATCH(A746,'Match Results'!$A$6:$A$185,0)),INDEX('Match Results'!$H$6:$H$185,MATCH(A746,'Match Results'!$A$6:$A$185,0)))</f>
        <v>A4</v>
      </c>
      <c r="G746" s="31" t="str">
        <f>IF(H746=1,INDEX('Match Results'!$H$6:$H$185,MATCH(A746,'Match Results'!$A$6:$A$185,0)),INDEX('Match Results'!$G$6:$G$185,MATCH(A746,'Match Results'!$A$6:$A$185,0)))</f>
        <v>B3</v>
      </c>
      <c r="H746" s="31">
        <v>1</v>
      </c>
      <c r="I746" s="31">
        <v>1</v>
      </c>
      <c r="J746" s="32"/>
      <c r="K746" s="31" t="str">
        <f>IF(J746="","",IFERROR(INDEX('Team Rosters'!$C$6:$C$205,MATCH(J746,'Team Rosters'!$B$6:$B$205,0)),"CODE NOT FOUND"))</f>
        <v/>
      </c>
      <c r="L746" s="31" t="str">
        <f t="shared" si="33"/>
        <v/>
      </c>
      <c r="M746" s="31" t="str">
        <f>IF(OR(J746="",C746&lt;&gt;"League",L746&lt;&gt;"VALID"),"",COUNTIFS($J$6:J746,J746,$G$6:G746,G746,$C$6:C746,"League"))</f>
        <v/>
      </c>
      <c r="N746" s="31" t="str">
        <f t="shared" si="34"/>
        <v/>
      </c>
      <c r="O746" s="37" t="str">
        <f t="shared" si="35"/>
        <v/>
      </c>
    </row>
    <row r="747" spans="1:15" ht="15">
      <c r="A747" s="30">
        <v>156</v>
      </c>
      <c r="B747" s="31" t="s">
        <v>545</v>
      </c>
      <c r="C747" s="31" t="s">
        <v>539</v>
      </c>
      <c r="D747" s="31" t="s">
        <v>471</v>
      </c>
      <c r="E747" s="31" t="s">
        <v>475</v>
      </c>
      <c r="F747" s="31" t="str">
        <f>IF(H747=1,INDEX('Match Results'!$G$6:$G$185,MATCH(A747,'Match Results'!$A$6:$A$185,0)),INDEX('Match Results'!$H$6:$H$185,MATCH(A747,'Match Results'!$A$6:$A$185,0)))</f>
        <v>A4</v>
      </c>
      <c r="G747" s="31" t="str">
        <f>IF(H747=1,INDEX('Match Results'!$H$6:$H$185,MATCH(A747,'Match Results'!$A$6:$A$185,0)),INDEX('Match Results'!$G$6:$G$185,MATCH(A747,'Match Results'!$A$6:$A$185,0)))</f>
        <v>B3</v>
      </c>
      <c r="H747" s="31">
        <v>1</v>
      </c>
      <c r="I747" s="31">
        <v>2</v>
      </c>
      <c r="J747" s="32"/>
      <c r="K747" s="31" t="str">
        <f>IF(J747="","",IFERROR(INDEX('Team Rosters'!$C$6:$C$205,MATCH(J747,'Team Rosters'!$B$6:$B$205,0)),"CODE NOT FOUND"))</f>
        <v/>
      </c>
      <c r="L747" s="31" t="str">
        <f t="shared" si="33"/>
        <v/>
      </c>
      <c r="M747" s="31" t="str">
        <f>IF(OR(J747="",C747&lt;&gt;"League",L747&lt;&gt;"VALID"),"",COUNTIFS($J$6:J747,J747,$G$6:G747,G747,$C$6:C747,"League"))</f>
        <v/>
      </c>
      <c r="N747" s="31" t="str">
        <f t="shared" si="34"/>
        <v/>
      </c>
      <c r="O747" s="37" t="str">
        <f t="shared" si="35"/>
        <v/>
      </c>
    </row>
    <row r="748" spans="1:15" ht="15">
      <c r="A748" s="30">
        <v>156</v>
      </c>
      <c r="B748" s="31" t="s">
        <v>545</v>
      </c>
      <c r="C748" s="31" t="s">
        <v>539</v>
      </c>
      <c r="D748" s="31" t="s">
        <v>471</v>
      </c>
      <c r="E748" s="31" t="s">
        <v>475</v>
      </c>
      <c r="F748" s="31" t="str">
        <f>IF(H748=1,INDEX('Match Results'!$G$6:$G$185,MATCH(A748,'Match Results'!$A$6:$A$185,0)),INDEX('Match Results'!$H$6:$H$185,MATCH(A748,'Match Results'!$A$6:$A$185,0)))</f>
        <v>B3</v>
      </c>
      <c r="G748" s="31" t="str">
        <f>IF(H748=1,INDEX('Match Results'!$H$6:$H$185,MATCH(A748,'Match Results'!$A$6:$A$185,0)),INDEX('Match Results'!$G$6:$G$185,MATCH(A748,'Match Results'!$A$6:$A$185,0)))</f>
        <v>A4</v>
      </c>
      <c r="H748" s="31">
        <v>2</v>
      </c>
      <c r="I748" s="31">
        <v>3</v>
      </c>
      <c r="J748" s="32"/>
      <c r="K748" s="31" t="str">
        <f>IF(J748="","",IFERROR(INDEX('Team Rosters'!$C$6:$C$205,MATCH(J748,'Team Rosters'!$B$6:$B$205,0)),"CODE NOT FOUND"))</f>
        <v/>
      </c>
      <c r="L748" s="31" t="str">
        <f t="shared" si="33"/>
        <v/>
      </c>
      <c r="M748" s="31" t="str">
        <f>IF(OR(J748="",C748&lt;&gt;"League",L748&lt;&gt;"VALID"),"",COUNTIFS($J$6:J748,J748,$G$6:G748,G748,$C$6:C748,"League"))</f>
        <v/>
      </c>
      <c r="N748" s="31" t="str">
        <f t="shared" si="34"/>
        <v/>
      </c>
      <c r="O748" s="37" t="str">
        <f t="shared" si="35"/>
        <v/>
      </c>
    </row>
    <row r="749" spans="1:15" ht="15">
      <c r="A749" s="30">
        <v>156</v>
      </c>
      <c r="B749" s="31" t="s">
        <v>545</v>
      </c>
      <c r="C749" s="31" t="s">
        <v>539</v>
      </c>
      <c r="D749" s="31" t="s">
        <v>471</v>
      </c>
      <c r="E749" s="31" t="s">
        <v>475</v>
      </c>
      <c r="F749" s="31" t="str">
        <f>IF(H749=1,INDEX('Match Results'!$G$6:$G$185,MATCH(A749,'Match Results'!$A$6:$A$185,0)),INDEX('Match Results'!$H$6:$H$185,MATCH(A749,'Match Results'!$A$6:$A$185,0)))</f>
        <v>B3</v>
      </c>
      <c r="G749" s="31" t="str">
        <f>IF(H749=1,INDEX('Match Results'!$H$6:$H$185,MATCH(A749,'Match Results'!$A$6:$A$185,0)),INDEX('Match Results'!$G$6:$G$185,MATCH(A749,'Match Results'!$A$6:$A$185,0)))</f>
        <v>A4</v>
      </c>
      <c r="H749" s="31">
        <v>2</v>
      </c>
      <c r="I749" s="31">
        <v>4</v>
      </c>
      <c r="J749" s="32"/>
      <c r="K749" s="31" t="str">
        <f>IF(J749="","",IFERROR(INDEX('Team Rosters'!$C$6:$C$205,MATCH(J749,'Team Rosters'!$B$6:$B$205,0)),"CODE NOT FOUND"))</f>
        <v/>
      </c>
      <c r="L749" s="31" t="str">
        <f t="shared" si="33"/>
        <v/>
      </c>
      <c r="M749" s="31" t="str">
        <f>IF(OR(J749="",C749&lt;&gt;"League",L749&lt;&gt;"VALID"),"",COUNTIFS($J$6:J749,J749,$G$6:G749,G749,$C$6:C749,"League"))</f>
        <v/>
      </c>
      <c r="N749" s="31" t="str">
        <f t="shared" si="34"/>
        <v/>
      </c>
      <c r="O749" s="37" t="str">
        <f t="shared" si="35"/>
        <v/>
      </c>
    </row>
    <row r="750" spans="1:15" ht="15">
      <c r="A750" s="30">
        <v>157</v>
      </c>
      <c r="B750" s="31" t="s">
        <v>545</v>
      </c>
      <c r="C750" s="31" t="s">
        <v>539</v>
      </c>
      <c r="D750" s="31" t="s">
        <v>471</v>
      </c>
      <c r="E750" s="31" t="s">
        <v>477</v>
      </c>
      <c r="F750" s="31" t="str">
        <f>IF(H750=1,INDEX('Match Results'!$G$6:$G$185,MATCH(A750,'Match Results'!$A$6:$A$185,0)),INDEX('Match Results'!$H$6:$H$185,MATCH(A750,'Match Results'!$A$6:$A$185,0)))</f>
        <v>A4</v>
      </c>
      <c r="G750" s="31" t="str">
        <f>IF(H750=1,INDEX('Match Results'!$H$6:$H$185,MATCH(A750,'Match Results'!$A$6:$A$185,0)),INDEX('Match Results'!$G$6:$G$185,MATCH(A750,'Match Results'!$A$6:$A$185,0)))</f>
        <v>B3</v>
      </c>
      <c r="H750" s="31">
        <v>1</v>
      </c>
      <c r="I750" s="31">
        <v>1</v>
      </c>
      <c r="J750" s="32"/>
      <c r="K750" s="31" t="str">
        <f>IF(J750="","",IFERROR(INDEX('Team Rosters'!$C$6:$C$205,MATCH(J750,'Team Rosters'!$B$6:$B$205,0)),"CODE NOT FOUND"))</f>
        <v/>
      </c>
      <c r="L750" s="31" t="str">
        <f t="shared" si="33"/>
        <v/>
      </c>
      <c r="M750" s="31" t="str">
        <f>IF(OR(J750="",C750&lt;&gt;"League",L750&lt;&gt;"VALID"),"",COUNTIFS($J$6:J750,J750,$G$6:G750,G750,$C$6:C750,"League"))</f>
        <v/>
      </c>
      <c r="N750" s="31" t="str">
        <f t="shared" si="34"/>
        <v/>
      </c>
      <c r="O750" s="37" t="str">
        <f t="shared" si="35"/>
        <v/>
      </c>
    </row>
    <row r="751" spans="1:15" ht="15">
      <c r="A751" s="30">
        <v>157</v>
      </c>
      <c r="B751" s="31" t="s">
        <v>545</v>
      </c>
      <c r="C751" s="31" t="s">
        <v>539</v>
      </c>
      <c r="D751" s="31" t="s">
        <v>471</v>
      </c>
      <c r="E751" s="31" t="s">
        <v>477</v>
      </c>
      <c r="F751" s="31" t="str">
        <f>IF(H751=1,INDEX('Match Results'!$G$6:$G$185,MATCH(A751,'Match Results'!$A$6:$A$185,0)),INDEX('Match Results'!$H$6:$H$185,MATCH(A751,'Match Results'!$A$6:$A$185,0)))</f>
        <v>A4</v>
      </c>
      <c r="G751" s="31" t="str">
        <f>IF(H751=1,INDEX('Match Results'!$H$6:$H$185,MATCH(A751,'Match Results'!$A$6:$A$185,0)),INDEX('Match Results'!$G$6:$G$185,MATCH(A751,'Match Results'!$A$6:$A$185,0)))</f>
        <v>B3</v>
      </c>
      <c r="H751" s="31">
        <v>1</v>
      </c>
      <c r="I751" s="31">
        <v>2</v>
      </c>
      <c r="J751" s="32"/>
      <c r="K751" s="31" t="str">
        <f>IF(J751="","",IFERROR(INDEX('Team Rosters'!$C$6:$C$205,MATCH(J751,'Team Rosters'!$B$6:$B$205,0)),"CODE NOT FOUND"))</f>
        <v/>
      </c>
      <c r="L751" s="31" t="str">
        <f t="shared" si="33"/>
        <v/>
      </c>
      <c r="M751" s="31" t="str">
        <f>IF(OR(J751="",C751&lt;&gt;"League",L751&lt;&gt;"VALID"),"",COUNTIFS($J$6:J751,J751,$G$6:G751,G751,$C$6:C751,"League"))</f>
        <v/>
      </c>
      <c r="N751" s="31" t="str">
        <f t="shared" si="34"/>
        <v/>
      </c>
      <c r="O751" s="37" t="str">
        <f t="shared" si="35"/>
        <v/>
      </c>
    </row>
    <row r="752" spans="1:15" ht="15">
      <c r="A752" s="30">
        <v>157</v>
      </c>
      <c r="B752" s="31" t="s">
        <v>545</v>
      </c>
      <c r="C752" s="31" t="s">
        <v>539</v>
      </c>
      <c r="D752" s="31" t="s">
        <v>471</v>
      </c>
      <c r="E752" s="31" t="s">
        <v>477</v>
      </c>
      <c r="F752" s="31" t="str">
        <f>IF(H752=1,INDEX('Match Results'!$G$6:$G$185,MATCH(A752,'Match Results'!$A$6:$A$185,0)),INDEX('Match Results'!$H$6:$H$185,MATCH(A752,'Match Results'!$A$6:$A$185,0)))</f>
        <v>B3</v>
      </c>
      <c r="G752" s="31" t="str">
        <f>IF(H752=1,INDEX('Match Results'!$H$6:$H$185,MATCH(A752,'Match Results'!$A$6:$A$185,0)),INDEX('Match Results'!$G$6:$G$185,MATCH(A752,'Match Results'!$A$6:$A$185,0)))</f>
        <v>A4</v>
      </c>
      <c r="H752" s="31">
        <v>2</v>
      </c>
      <c r="I752" s="31">
        <v>3</v>
      </c>
      <c r="J752" s="32"/>
      <c r="K752" s="31" t="str">
        <f>IF(J752="","",IFERROR(INDEX('Team Rosters'!$C$6:$C$205,MATCH(J752,'Team Rosters'!$B$6:$B$205,0)),"CODE NOT FOUND"))</f>
        <v/>
      </c>
      <c r="L752" s="31" t="str">
        <f t="shared" si="33"/>
        <v/>
      </c>
      <c r="M752" s="31" t="str">
        <f>IF(OR(J752="",C752&lt;&gt;"League",L752&lt;&gt;"VALID"),"",COUNTIFS($J$6:J752,J752,$G$6:G752,G752,$C$6:C752,"League"))</f>
        <v/>
      </c>
      <c r="N752" s="31" t="str">
        <f t="shared" si="34"/>
        <v/>
      </c>
      <c r="O752" s="37" t="str">
        <f t="shared" si="35"/>
        <v/>
      </c>
    </row>
    <row r="753" spans="1:15" ht="15">
      <c r="A753" s="30">
        <v>157</v>
      </c>
      <c r="B753" s="31" t="s">
        <v>545</v>
      </c>
      <c r="C753" s="31" t="s">
        <v>539</v>
      </c>
      <c r="D753" s="31" t="s">
        <v>471</v>
      </c>
      <c r="E753" s="31" t="s">
        <v>477</v>
      </c>
      <c r="F753" s="31" t="str">
        <f>IF(H753=1,INDEX('Match Results'!$G$6:$G$185,MATCH(A753,'Match Results'!$A$6:$A$185,0)),INDEX('Match Results'!$H$6:$H$185,MATCH(A753,'Match Results'!$A$6:$A$185,0)))</f>
        <v>B3</v>
      </c>
      <c r="G753" s="31" t="str">
        <f>IF(H753=1,INDEX('Match Results'!$H$6:$H$185,MATCH(A753,'Match Results'!$A$6:$A$185,0)),INDEX('Match Results'!$G$6:$G$185,MATCH(A753,'Match Results'!$A$6:$A$185,0)))</f>
        <v>A4</v>
      </c>
      <c r="H753" s="31">
        <v>2</v>
      </c>
      <c r="I753" s="31">
        <v>4</v>
      </c>
      <c r="J753" s="32"/>
      <c r="K753" s="31" t="str">
        <f>IF(J753="","",IFERROR(INDEX('Team Rosters'!$C$6:$C$205,MATCH(J753,'Team Rosters'!$B$6:$B$205,0)),"CODE NOT FOUND"))</f>
        <v/>
      </c>
      <c r="L753" s="31" t="str">
        <f t="shared" si="33"/>
        <v/>
      </c>
      <c r="M753" s="31" t="str">
        <f>IF(OR(J753="",C753&lt;&gt;"League",L753&lt;&gt;"VALID"),"",COUNTIFS($J$6:J753,J753,$G$6:G753,G753,$C$6:C753,"League"))</f>
        <v/>
      </c>
      <c r="N753" s="31" t="str">
        <f t="shared" si="34"/>
        <v/>
      </c>
      <c r="O753" s="37" t="str">
        <f t="shared" si="35"/>
        <v/>
      </c>
    </row>
    <row r="754" spans="1:15" ht="15">
      <c r="A754" s="30">
        <v>158</v>
      </c>
      <c r="B754" s="31" t="s">
        <v>546</v>
      </c>
      <c r="C754" s="31" t="s">
        <v>543</v>
      </c>
      <c r="D754" s="31" t="s">
        <v>471</v>
      </c>
      <c r="E754" s="31" t="s">
        <v>472</v>
      </c>
      <c r="F754" s="31" t="str">
        <f>IF(H754=1,INDEX('Match Results'!$G$6:$G$185,MATCH(A754,'Match Results'!$A$6:$A$185,0)),INDEX('Match Results'!$H$6:$H$185,MATCH(A754,'Match Results'!$A$6:$A$185,0)))</f>
        <v>A3</v>
      </c>
      <c r="G754" s="31" t="str">
        <f>IF(H754=1,INDEX('Match Results'!$H$6:$H$185,MATCH(A754,'Match Results'!$A$6:$A$185,0)),INDEX('Match Results'!$G$6:$G$185,MATCH(A754,'Match Results'!$A$6:$A$185,0)))</f>
        <v>B4</v>
      </c>
      <c r="H754" s="31">
        <v>1</v>
      </c>
      <c r="I754" s="31">
        <v>1</v>
      </c>
      <c r="J754" s="32"/>
      <c r="K754" s="31" t="str">
        <f>IF(J754="","",IFERROR(INDEX('Team Rosters'!$C$6:$C$205,MATCH(J754,'Team Rosters'!$B$6:$B$205,0)),"CODE NOT FOUND"))</f>
        <v/>
      </c>
      <c r="L754" s="31" t="str">
        <f t="shared" si="33"/>
        <v/>
      </c>
      <c r="M754" s="31" t="str">
        <f>IF(OR(J754="",C754&lt;&gt;"League",L754&lt;&gt;"VALID"),"",COUNTIFS($J$6:J754,J754,$G$6:G754,G754,$C$6:C754,"League"))</f>
        <v/>
      </c>
      <c r="N754" s="31" t="str">
        <f t="shared" si="34"/>
        <v/>
      </c>
      <c r="O754" s="37" t="str">
        <f t="shared" si="35"/>
        <v/>
      </c>
    </row>
    <row r="755" spans="1:15" ht="15">
      <c r="A755" s="30">
        <v>158</v>
      </c>
      <c r="B755" s="31" t="s">
        <v>546</v>
      </c>
      <c r="C755" s="31" t="s">
        <v>543</v>
      </c>
      <c r="D755" s="31" t="s">
        <v>471</v>
      </c>
      <c r="E755" s="31" t="s">
        <v>472</v>
      </c>
      <c r="F755" s="31" t="str">
        <f>IF(H755=1,INDEX('Match Results'!$G$6:$G$185,MATCH(A755,'Match Results'!$A$6:$A$185,0)),INDEX('Match Results'!$H$6:$H$185,MATCH(A755,'Match Results'!$A$6:$A$185,0)))</f>
        <v>A3</v>
      </c>
      <c r="G755" s="31" t="str">
        <f>IF(H755=1,INDEX('Match Results'!$H$6:$H$185,MATCH(A755,'Match Results'!$A$6:$A$185,0)),INDEX('Match Results'!$G$6:$G$185,MATCH(A755,'Match Results'!$A$6:$A$185,0)))</f>
        <v>B4</v>
      </c>
      <c r="H755" s="31">
        <v>1</v>
      </c>
      <c r="I755" s="31">
        <v>2</v>
      </c>
      <c r="J755" s="32"/>
      <c r="K755" s="31" t="str">
        <f>IF(J755="","",IFERROR(INDEX('Team Rosters'!$C$6:$C$205,MATCH(J755,'Team Rosters'!$B$6:$B$205,0)),"CODE NOT FOUND"))</f>
        <v/>
      </c>
      <c r="L755" s="31" t="str">
        <f t="shared" si="33"/>
        <v/>
      </c>
      <c r="M755" s="31" t="str">
        <f>IF(OR(J755="",C755&lt;&gt;"League",L755&lt;&gt;"VALID"),"",COUNTIFS($J$6:J755,J755,$G$6:G755,G755,$C$6:C755,"League"))</f>
        <v/>
      </c>
      <c r="N755" s="31" t="str">
        <f t="shared" si="34"/>
        <v/>
      </c>
      <c r="O755" s="37" t="str">
        <f t="shared" si="35"/>
        <v/>
      </c>
    </row>
    <row r="756" spans="1:15" ht="15">
      <c r="A756" s="30">
        <v>158</v>
      </c>
      <c r="B756" s="31" t="s">
        <v>546</v>
      </c>
      <c r="C756" s="31" t="s">
        <v>543</v>
      </c>
      <c r="D756" s="31" t="s">
        <v>471</v>
      </c>
      <c r="E756" s="31" t="s">
        <v>472</v>
      </c>
      <c r="F756" s="31" t="str">
        <f>IF(H756=1,INDEX('Match Results'!$G$6:$G$185,MATCH(A756,'Match Results'!$A$6:$A$185,0)),INDEX('Match Results'!$H$6:$H$185,MATCH(A756,'Match Results'!$A$6:$A$185,0)))</f>
        <v>B4</v>
      </c>
      <c r="G756" s="31" t="str">
        <f>IF(H756=1,INDEX('Match Results'!$H$6:$H$185,MATCH(A756,'Match Results'!$A$6:$A$185,0)),INDEX('Match Results'!$G$6:$G$185,MATCH(A756,'Match Results'!$A$6:$A$185,0)))</f>
        <v>A3</v>
      </c>
      <c r="H756" s="31">
        <v>2</v>
      </c>
      <c r="I756" s="31">
        <v>3</v>
      </c>
      <c r="J756" s="32"/>
      <c r="K756" s="31" t="str">
        <f>IF(J756="","",IFERROR(INDEX('Team Rosters'!$C$6:$C$205,MATCH(J756,'Team Rosters'!$B$6:$B$205,0)),"CODE NOT FOUND"))</f>
        <v/>
      </c>
      <c r="L756" s="31" t="str">
        <f t="shared" si="33"/>
        <v/>
      </c>
      <c r="M756" s="31" t="str">
        <f>IF(OR(J756="",C756&lt;&gt;"League",L756&lt;&gt;"VALID"),"",COUNTIFS($J$6:J756,J756,$G$6:G756,G756,$C$6:C756,"League"))</f>
        <v/>
      </c>
      <c r="N756" s="31" t="str">
        <f t="shared" si="34"/>
        <v/>
      </c>
      <c r="O756" s="37" t="str">
        <f t="shared" si="35"/>
        <v/>
      </c>
    </row>
    <row r="757" spans="1:15" ht="15">
      <c r="A757" s="30">
        <v>158</v>
      </c>
      <c r="B757" s="31" t="s">
        <v>546</v>
      </c>
      <c r="C757" s="31" t="s">
        <v>543</v>
      </c>
      <c r="D757" s="31" t="s">
        <v>471</v>
      </c>
      <c r="E757" s="31" t="s">
        <v>472</v>
      </c>
      <c r="F757" s="31" t="str">
        <f>IF(H757=1,INDEX('Match Results'!$G$6:$G$185,MATCH(A757,'Match Results'!$A$6:$A$185,0)),INDEX('Match Results'!$H$6:$H$185,MATCH(A757,'Match Results'!$A$6:$A$185,0)))</f>
        <v>B4</v>
      </c>
      <c r="G757" s="31" t="str">
        <f>IF(H757=1,INDEX('Match Results'!$H$6:$H$185,MATCH(A757,'Match Results'!$A$6:$A$185,0)),INDEX('Match Results'!$G$6:$G$185,MATCH(A757,'Match Results'!$A$6:$A$185,0)))</f>
        <v>A3</v>
      </c>
      <c r="H757" s="31">
        <v>2</v>
      </c>
      <c r="I757" s="31">
        <v>4</v>
      </c>
      <c r="J757" s="32"/>
      <c r="K757" s="31" t="str">
        <f>IF(J757="","",IFERROR(INDEX('Team Rosters'!$C$6:$C$205,MATCH(J757,'Team Rosters'!$B$6:$B$205,0)),"CODE NOT FOUND"))</f>
        <v/>
      </c>
      <c r="L757" s="31" t="str">
        <f t="shared" si="33"/>
        <v/>
      </c>
      <c r="M757" s="31" t="str">
        <f>IF(OR(J757="",C757&lt;&gt;"League",L757&lt;&gt;"VALID"),"",COUNTIFS($J$6:J757,J757,$G$6:G757,G757,$C$6:C757,"League"))</f>
        <v/>
      </c>
      <c r="N757" s="31" t="str">
        <f t="shared" si="34"/>
        <v/>
      </c>
      <c r="O757" s="37" t="str">
        <f t="shared" si="35"/>
        <v/>
      </c>
    </row>
    <row r="758" spans="1:15" ht="15">
      <c r="A758" s="30">
        <v>159</v>
      </c>
      <c r="B758" s="31" t="s">
        <v>546</v>
      </c>
      <c r="C758" s="31" t="s">
        <v>543</v>
      </c>
      <c r="D758" s="31" t="s">
        <v>471</v>
      </c>
      <c r="E758" s="31" t="s">
        <v>475</v>
      </c>
      <c r="F758" s="31" t="str">
        <f>IF(H758=1,INDEX('Match Results'!$G$6:$G$185,MATCH(A758,'Match Results'!$A$6:$A$185,0)),INDEX('Match Results'!$H$6:$H$185,MATCH(A758,'Match Results'!$A$6:$A$185,0)))</f>
        <v>A3</v>
      </c>
      <c r="G758" s="31" t="str">
        <f>IF(H758=1,INDEX('Match Results'!$H$6:$H$185,MATCH(A758,'Match Results'!$A$6:$A$185,0)),INDEX('Match Results'!$G$6:$G$185,MATCH(A758,'Match Results'!$A$6:$A$185,0)))</f>
        <v>B4</v>
      </c>
      <c r="H758" s="31">
        <v>1</v>
      </c>
      <c r="I758" s="31">
        <v>1</v>
      </c>
      <c r="J758" s="32"/>
      <c r="K758" s="31" t="str">
        <f>IF(J758="","",IFERROR(INDEX('Team Rosters'!$C$6:$C$205,MATCH(J758,'Team Rosters'!$B$6:$B$205,0)),"CODE NOT FOUND"))</f>
        <v/>
      </c>
      <c r="L758" s="31" t="str">
        <f t="shared" si="33"/>
        <v/>
      </c>
      <c r="M758" s="31" t="str">
        <f>IF(OR(J758="",C758&lt;&gt;"League",L758&lt;&gt;"VALID"),"",COUNTIFS($J$6:J758,J758,$G$6:G758,G758,$C$6:C758,"League"))</f>
        <v/>
      </c>
      <c r="N758" s="31" t="str">
        <f t="shared" si="34"/>
        <v/>
      </c>
      <c r="O758" s="37" t="str">
        <f t="shared" si="35"/>
        <v/>
      </c>
    </row>
    <row r="759" spans="1:15" ht="15">
      <c r="A759" s="30">
        <v>159</v>
      </c>
      <c r="B759" s="31" t="s">
        <v>546</v>
      </c>
      <c r="C759" s="31" t="s">
        <v>543</v>
      </c>
      <c r="D759" s="31" t="s">
        <v>471</v>
      </c>
      <c r="E759" s="31" t="s">
        <v>475</v>
      </c>
      <c r="F759" s="31" t="str">
        <f>IF(H759=1,INDEX('Match Results'!$G$6:$G$185,MATCH(A759,'Match Results'!$A$6:$A$185,0)),INDEX('Match Results'!$H$6:$H$185,MATCH(A759,'Match Results'!$A$6:$A$185,0)))</f>
        <v>A3</v>
      </c>
      <c r="G759" s="31" t="str">
        <f>IF(H759=1,INDEX('Match Results'!$H$6:$H$185,MATCH(A759,'Match Results'!$A$6:$A$185,0)),INDEX('Match Results'!$G$6:$G$185,MATCH(A759,'Match Results'!$A$6:$A$185,0)))</f>
        <v>B4</v>
      </c>
      <c r="H759" s="31">
        <v>1</v>
      </c>
      <c r="I759" s="31">
        <v>2</v>
      </c>
      <c r="J759" s="32"/>
      <c r="K759" s="31" t="str">
        <f>IF(J759="","",IFERROR(INDEX('Team Rosters'!$C$6:$C$205,MATCH(J759,'Team Rosters'!$B$6:$B$205,0)),"CODE NOT FOUND"))</f>
        <v/>
      </c>
      <c r="L759" s="31" t="str">
        <f t="shared" si="33"/>
        <v/>
      </c>
      <c r="M759" s="31" t="str">
        <f>IF(OR(J759="",C759&lt;&gt;"League",L759&lt;&gt;"VALID"),"",COUNTIFS($J$6:J759,J759,$G$6:G759,G759,$C$6:C759,"League"))</f>
        <v/>
      </c>
      <c r="N759" s="31" t="str">
        <f t="shared" si="34"/>
        <v/>
      </c>
      <c r="O759" s="37" t="str">
        <f t="shared" si="35"/>
        <v/>
      </c>
    </row>
    <row r="760" spans="1:15" ht="15">
      <c r="A760" s="30">
        <v>159</v>
      </c>
      <c r="B760" s="31" t="s">
        <v>546</v>
      </c>
      <c r="C760" s="31" t="s">
        <v>543</v>
      </c>
      <c r="D760" s="31" t="s">
        <v>471</v>
      </c>
      <c r="E760" s="31" t="s">
        <v>475</v>
      </c>
      <c r="F760" s="31" t="str">
        <f>IF(H760=1,INDEX('Match Results'!$G$6:$G$185,MATCH(A760,'Match Results'!$A$6:$A$185,0)),INDEX('Match Results'!$H$6:$H$185,MATCH(A760,'Match Results'!$A$6:$A$185,0)))</f>
        <v>B4</v>
      </c>
      <c r="G760" s="31" t="str">
        <f>IF(H760=1,INDEX('Match Results'!$H$6:$H$185,MATCH(A760,'Match Results'!$A$6:$A$185,0)),INDEX('Match Results'!$G$6:$G$185,MATCH(A760,'Match Results'!$A$6:$A$185,0)))</f>
        <v>A3</v>
      </c>
      <c r="H760" s="31">
        <v>2</v>
      </c>
      <c r="I760" s="31">
        <v>3</v>
      </c>
      <c r="J760" s="32"/>
      <c r="K760" s="31" t="str">
        <f>IF(J760="","",IFERROR(INDEX('Team Rosters'!$C$6:$C$205,MATCH(J760,'Team Rosters'!$B$6:$B$205,0)),"CODE NOT FOUND"))</f>
        <v/>
      </c>
      <c r="L760" s="31" t="str">
        <f t="shared" si="33"/>
        <v/>
      </c>
      <c r="M760" s="31" t="str">
        <f>IF(OR(J760="",C760&lt;&gt;"League",L760&lt;&gt;"VALID"),"",COUNTIFS($J$6:J760,J760,$G$6:G760,G760,$C$6:C760,"League"))</f>
        <v/>
      </c>
      <c r="N760" s="31" t="str">
        <f t="shared" si="34"/>
        <v/>
      </c>
      <c r="O760" s="37" t="str">
        <f t="shared" si="35"/>
        <v/>
      </c>
    </row>
    <row r="761" spans="1:15" ht="15">
      <c r="A761" s="30">
        <v>159</v>
      </c>
      <c r="B761" s="31" t="s">
        <v>546</v>
      </c>
      <c r="C761" s="31" t="s">
        <v>543</v>
      </c>
      <c r="D761" s="31" t="s">
        <v>471</v>
      </c>
      <c r="E761" s="31" t="s">
        <v>475</v>
      </c>
      <c r="F761" s="31" t="str">
        <f>IF(H761=1,INDEX('Match Results'!$G$6:$G$185,MATCH(A761,'Match Results'!$A$6:$A$185,0)),INDEX('Match Results'!$H$6:$H$185,MATCH(A761,'Match Results'!$A$6:$A$185,0)))</f>
        <v>B4</v>
      </c>
      <c r="G761" s="31" t="str">
        <f>IF(H761=1,INDEX('Match Results'!$H$6:$H$185,MATCH(A761,'Match Results'!$A$6:$A$185,0)),INDEX('Match Results'!$G$6:$G$185,MATCH(A761,'Match Results'!$A$6:$A$185,0)))</f>
        <v>A3</v>
      </c>
      <c r="H761" s="31">
        <v>2</v>
      </c>
      <c r="I761" s="31">
        <v>4</v>
      </c>
      <c r="J761" s="32"/>
      <c r="K761" s="31" t="str">
        <f>IF(J761="","",IFERROR(INDEX('Team Rosters'!$C$6:$C$205,MATCH(J761,'Team Rosters'!$B$6:$B$205,0)),"CODE NOT FOUND"))</f>
        <v/>
      </c>
      <c r="L761" s="31" t="str">
        <f t="shared" si="33"/>
        <v/>
      </c>
      <c r="M761" s="31" t="str">
        <f>IF(OR(J761="",C761&lt;&gt;"League",L761&lt;&gt;"VALID"),"",COUNTIFS($J$6:J761,J761,$G$6:G761,G761,$C$6:C761,"League"))</f>
        <v/>
      </c>
      <c r="N761" s="31" t="str">
        <f t="shared" si="34"/>
        <v/>
      </c>
      <c r="O761" s="37" t="str">
        <f t="shared" si="35"/>
        <v/>
      </c>
    </row>
    <row r="762" spans="1:15" ht="15">
      <c r="A762" s="30">
        <v>160</v>
      </c>
      <c r="B762" s="31" t="s">
        <v>546</v>
      </c>
      <c r="C762" s="31" t="s">
        <v>543</v>
      </c>
      <c r="D762" s="31" t="s">
        <v>471</v>
      </c>
      <c r="E762" s="31" t="s">
        <v>477</v>
      </c>
      <c r="F762" s="31" t="str">
        <f>IF(H762=1,INDEX('Match Results'!$G$6:$G$185,MATCH(A762,'Match Results'!$A$6:$A$185,0)),INDEX('Match Results'!$H$6:$H$185,MATCH(A762,'Match Results'!$A$6:$A$185,0)))</f>
        <v>A3</v>
      </c>
      <c r="G762" s="31" t="str">
        <f>IF(H762=1,INDEX('Match Results'!$H$6:$H$185,MATCH(A762,'Match Results'!$A$6:$A$185,0)),INDEX('Match Results'!$G$6:$G$185,MATCH(A762,'Match Results'!$A$6:$A$185,0)))</f>
        <v>B4</v>
      </c>
      <c r="H762" s="31">
        <v>1</v>
      </c>
      <c r="I762" s="31">
        <v>1</v>
      </c>
      <c r="J762" s="32"/>
      <c r="K762" s="31" t="str">
        <f>IF(J762="","",IFERROR(INDEX('Team Rosters'!$C$6:$C$205,MATCH(J762,'Team Rosters'!$B$6:$B$205,0)),"CODE NOT FOUND"))</f>
        <v/>
      </c>
      <c r="L762" s="31" t="str">
        <f t="shared" si="33"/>
        <v/>
      </c>
      <c r="M762" s="31" t="str">
        <f>IF(OR(J762="",C762&lt;&gt;"League",L762&lt;&gt;"VALID"),"",COUNTIFS($J$6:J762,J762,$G$6:G762,G762,$C$6:C762,"League"))</f>
        <v/>
      </c>
      <c r="N762" s="31" t="str">
        <f t="shared" si="34"/>
        <v/>
      </c>
      <c r="O762" s="37" t="str">
        <f t="shared" si="35"/>
        <v/>
      </c>
    </row>
    <row r="763" spans="1:15" ht="15">
      <c r="A763" s="30">
        <v>160</v>
      </c>
      <c r="B763" s="31" t="s">
        <v>546</v>
      </c>
      <c r="C763" s="31" t="s">
        <v>543</v>
      </c>
      <c r="D763" s="31" t="s">
        <v>471</v>
      </c>
      <c r="E763" s="31" t="s">
        <v>477</v>
      </c>
      <c r="F763" s="31" t="str">
        <f>IF(H763=1,INDEX('Match Results'!$G$6:$G$185,MATCH(A763,'Match Results'!$A$6:$A$185,0)),INDEX('Match Results'!$H$6:$H$185,MATCH(A763,'Match Results'!$A$6:$A$185,0)))</f>
        <v>A3</v>
      </c>
      <c r="G763" s="31" t="str">
        <f>IF(H763=1,INDEX('Match Results'!$H$6:$H$185,MATCH(A763,'Match Results'!$A$6:$A$185,0)),INDEX('Match Results'!$G$6:$G$185,MATCH(A763,'Match Results'!$A$6:$A$185,0)))</f>
        <v>B4</v>
      </c>
      <c r="H763" s="31">
        <v>1</v>
      </c>
      <c r="I763" s="31">
        <v>2</v>
      </c>
      <c r="J763" s="32"/>
      <c r="K763" s="31" t="str">
        <f>IF(J763="","",IFERROR(INDEX('Team Rosters'!$C$6:$C$205,MATCH(J763,'Team Rosters'!$B$6:$B$205,0)),"CODE NOT FOUND"))</f>
        <v/>
      </c>
      <c r="L763" s="31" t="str">
        <f t="shared" si="33"/>
        <v/>
      </c>
      <c r="M763" s="31" t="str">
        <f>IF(OR(J763="",C763&lt;&gt;"League",L763&lt;&gt;"VALID"),"",COUNTIFS($J$6:J763,J763,$G$6:G763,G763,$C$6:C763,"League"))</f>
        <v/>
      </c>
      <c r="N763" s="31" t="str">
        <f t="shared" si="34"/>
        <v/>
      </c>
      <c r="O763" s="37" t="str">
        <f t="shared" si="35"/>
        <v/>
      </c>
    </row>
    <row r="764" spans="1:15" ht="15">
      <c r="A764" s="30">
        <v>160</v>
      </c>
      <c r="B764" s="31" t="s">
        <v>546</v>
      </c>
      <c r="C764" s="31" t="s">
        <v>543</v>
      </c>
      <c r="D764" s="31" t="s">
        <v>471</v>
      </c>
      <c r="E764" s="31" t="s">
        <v>477</v>
      </c>
      <c r="F764" s="31" t="str">
        <f>IF(H764=1,INDEX('Match Results'!$G$6:$G$185,MATCH(A764,'Match Results'!$A$6:$A$185,0)),INDEX('Match Results'!$H$6:$H$185,MATCH(A764,'Match Results'!$A$6:$A$185,0)))</f>
        <v>B4</v>
      </c>
      <c r="G764" s="31" t="str">
        <f>IF(H764=1,INDEX('Match Results'!$H$6:$H$185,MATCH(A764,'Match Results'!$A$6:$A$185,0)),INDEX('Match Results'!$G$6:$G$185,MATCH(A764,'Match Results'!$A$6:$A$185,0)))</f>
        <v>A3</v>
      </c>
      <c r="H764" s="31">
        <v>2</v>
      </c>
      <c r="I764" s="31">
        <v>3</v>
      </c>
      <c r="J764" s="32"/>
      <c r="K764" s="31" t="str">
        <f>IF(J764="","",IFERROR(INDEX('Team Rosters'!$C$6:$C$205,MATCH(J764,'Team Rosters'!$B$6:$B$205,0)),"CODE NOT FOUND"))</f>
        <v/>
      </c>
      <c r="L764" s="31" t="str">
        <f t="shared" si="33"/>
        <v/>
      </c>
      <c r="M764" s="31" t="str">
        <f>IF(OR(J764="",C764&lt;&gt;"League",L764&lt;&gt;"VALID"),"",COUNTIFS($J$6:J764,J764,$G$6:G764,G764,$C$6:C764,"League"))</f>
        <v/>
      </c>
      <c r="N764" s="31" t="str">
        <f t="shared" si="34"/>
        <v/>
      </c>
      <c r="O764" s="37" t="str">
        <f t="shared" si="35"/>
        <v/>
      </c>
    </row>
    <row r="765" spans="1:15" ht="15">
      <c r="A765" s="30">
        <v>160</v>
      </c>
      <c r="B765" s="31" t="s">
        <v>546</v>
      </c>
      <c r="C765" s="31" t="s">
        <v>543</v>
      </c>
      <c r="D765" s="31" t="s">
        <v>471</v>
      </c>
      <c r="E765" s="31" t="s">
        <v>477</v>
      </c>
      <c r="F765" s="31" t="str">
        <f>IF(H765=1,INDEX('Match Results'!$G$6:$G$185,MATCH(A765,'Match Results'!$A$6:$A$185,0)),INDEX('Match Results'!$H$6:$H$185,MATCH(A765,'Match Results'!$A$6:$A$185,0)))</f>
        <v>B4</v>
      </c>
      <c r="G765" s="31" t="str">
        <f>IF(H765=1,INDEX('Match Results'!$H$6:$H$185,MATCH(A765,'Match Results'!$A$6:$A$185,0)),INDEX('Match Results'!$G$6:$G$185,MATCH(A765,'Match Results'!$A$6:$A$185,0)))</f>
        <v>A3</v>
      </c>
      <c r="H765" s="31">
        <v>2</v>
      </c>
      <c r="I765" s="31">
        <v>4</v>
      </c>
      <c r="J765" s="32"/>
      <c r="K765" s="31" t="str">
        <f>IF(J765="","",IFERROR(INDEX('Team Rosters'!$C$6:$C$205,MATCH(J765,'Team Rosters'!$B$6:$B$205,0)),"CODE NOT FOUND"))</f>
        <v/>
      </c>
      <c r="L765" s="31" t="str">
        <f t="shared" si="33"/>
        <v/>
      </c>
      <c r="M765" s="31" t="str">
        <f>IF(OR(J765="",C765&lt;&gt;"League",L765&lt;&gt;"VALID"),"",COUNTIFS($J$6:J765,J765,$G$6:G765,G765,$C$6:C765,"League"))</f>
        <v/>
      </c>
      <c r="N765" s="31" t="str">
        <f t="shared" si="34"/>
        <v/>
      </c>
      <c r="O765" s="37" t="str">
        <f t="shared" si="35"/>
        <v/>
      </c>
    </row>
    <row r="766" spans="1:15" ht="15">
      <c r="A766" s="30">
        <v>161</v>
      </c>
      <c r="B766" s="31" t="s">
        <v>547</v>
      </c>
      <c r="C766" s="31" t="s">
        <v>539</v>
      </c>
      <c r="D766" s="31" t="s">
        <v>479</v>
      </c>
      <c r="E766" s="31" t="s">
        <v>472</v>
      </c>
      <c r="F766" s="31" t="str">
        <f>IF(H766=1,INDEX('Match Results'!$G$6:$G$185,MATCH(A766,'Match Results'!$A$6:$A$185,0)),INDEX('Match Results'!$H$6:$H$185,MATCH(A766,'Match Results'!$A$6:$A$185,0)))</f>
        <v>A4</v>
      </c>
      <c r="G766" s="31" t="str">
        <f>IF(H766=1,INDEX('Match Results'!$H$6:$H$185,MATCH(A766,'Match Results'!$A$6:$A$185,0)),INDEX('Match Results'!$G$6:$G$185,MATCH(A766,'Match Results'!$A$6:$A$185,0)))</f>
        <v>B3</v>
      </c>
      <c r="H766" s="31">
        <v>1</v>
      </c>
      <c r="I766" s="31">
        <v>1</v>
      </c>
      <c r="J766" s="32"/>
      <c r="K766" s="31" t="str">
        <f>IF(J766="","",IFERROR(INDEX('Team Rosters'!$C$6:$C$205,MATCH(J766,'Team Rosters'!$B$6:$B$205,0)),"CODE NOT FOUND"))</f>
        <v/>
      </c>
      <c r="L766" s="31" t="str">
        <f t="shared" si="33"/>
        <v/>
      </c>
      <c r="M766" s="31" t="str">
        <f>IF(OR(J766="",C766&lt;&gt;"League",L766&lt;&gt;"VALID"),"",COUNTIFS($J$6:J766,J766,$G$6:G766,G766,$C$6:C766,"League"))</f>
        <v/>
      </c>
      <c r="N766" s="31" t="str">
        <f t="shared" si="34"/>
        <v/>
      </c>
      <c r="O766" s="37" t="str">
        <f t="shared" si="35"/>
        <v/>
      </c>
    </row>
    <row r="767" spans="1:15" ht="15">
      <c r="A767" s="30">
        <v>161</v>
      </c>
      <c r="B767" s="31" t="s">
        <v>547</v>
      </c>
      <c r="C767" s="31" t="s">
        <v>539</v>
      </c>
      <c r="D767" s="31" t="s">
        <v>479</v>
      </c>
      <c r="E767" s="31" t="s">
        <v>472</v>
      </c>
      <c r="F767" s="31" t="str">
        <f>IF(H767=1,INDEX('Match Results'!$G$6:$G$185,MATCH(A767,'Match Results'!$A$6:$A$185,0)),INDEX('Match Results'!$H$6:$H$185,MATCH(A767,'Match Results'!$A$6:$A$185,0)))</f>
        <v>A4</v>
      </c>
      <c r="G767" s="31" t="str">
        <f>IF(H767=1,INDEX('Match Results'!$H$6:$H$185,MATCH(A767,'Match Results'!$A$6:$A$185,0)),INDEX('Match Results'!$G$6:$G$185,MATCH(A767,'Match Results'!$A$6:$A$185,0)))</f>
        <v>B3</v>
      </c>
      <c r="H767" s="31">
        <v>1</v>
      </c>
      <c r="I767" s="31">
        <v>2</v>
      </c>
      <c r="J767" s="32"/>
      <c r="K767" s="31" t="str">
        <f>IF(J767="","",IFERROR(INDEX('Team Rosters'!$C$6:$C$205,MATCH(J767,'Team Rosters'!$B$6:$B$205,0)),"CODE NOT FOUND"))</f>
        <v/>
      </c>
      <c r="L767" s="31" t="str">
        <f t="shared" si="33"/>
        <v/>
      </c>
      <c r="M767" s="31" t="str">
        <f>IF(OR(J767="",C767&lt;&gt;"League",L767&lt;&gt;"VALID"),"",COUNTIFS($J$6:J767,J767,$G$6:G767,G767,$C$6:C767,"League"))</f>
        <v/>
      </c>
      <c r="N767" s="31" t="str">
        <f t="shared" si="34"/>
        <v/>
      </c>
      <c r="O767" s="37" t="str">
        <f t="shared" si="35"/>
        <v/>
      </c>
    </row>
    <row r="768" spans="1:15" ht="15">
      <c r="A768" s="30">
        <v>161</v>
      </c>
      <c r="B768" s="31" t="s">
        <v>547</v>
      </c>
      <c r="C768" s="31" t="s">
        <v>539</v>
      </c>
      <c r="D768" s="31" t="s">
        <v>479</v>
      </c>
      <c r="E768" s="31" t="s">
        <v>472</v>
      </c>
      <c r="F768" s="31" t="str">
        <f>IF(H768=1,INDEX('Match Results'!$G$6:$G$185,MATCH(A768,'Match Results'!$A$6:$A$185,0)),INDEX('Match Results'!$H$6:$H$185,MATCH(A768,'Match Results'!$A$6:$A$185,0)))</f>
        <v>B3</v>
      </c>
      <c r="G768" s="31" t="str">
        <f>IF(H768=1,INDEX('Match Results'!$H$6:$H$185,MATCH(A768,'Match Results'!$A$6:$A$185,0)),INDEX('Match Results'!$G$6:$G$185,MATCH(A768,'Match Results'!$A$6:$A$185,0)))</f>
        <v>A4</v>
      </c>
      <c r="H768" s="31">
        <v>2</v>
      </c>
      <c r="I768" s="31">
        <v>3</v>
      </c>
      <c r="J768" s="32"/>
      <c r="K768" s="31" t="str">
        <f>IF(J768="","",IFERROR(INDEX('Team Rosters'!$C$6:$C$205,MATCH(J768,'Team Rosters'!$B$6:$B$205,0)),"CODE NOT FOUND"))</f>
        <v/>
      </c>
      <c r="L768" s="31" t="str">
        <f t="shared" si="33"/>
        <v/>
      </c>
      <c r="M768" s="31" t="str">
        <f>IF(OR(J768="",C768&lt;&gt;"League",L768&lt;&gt;"VALID"),"",COUNTIFS($J$6:J768,J768,$G$6:G768,G768,$C$6:C768,"League"))</f>
        <v/>
      </c>
      <c r="N768" s="31" t="str">
        <f t="shared" si="34"/>
        <v/>
      </c>
      <c r="O768" s="37" t="str">
        <f t="shared" si="35"/>
        <v/>
      </c>
    </row>
    <row r="769" spans="1:15" ht="15">
      <c r="A769" s="30">
        <v>161</v>
      </c>
      <c r="B769" s="31" t="s">
        <v>547</v>
      </c>
      <c r="C769" s="31" t="s">
        <v>539</v>
      </c>
      <c r="D769" s="31" t="s">
        <v>479</v>
      </c>
      <c r="E769" s="31" t="s">
        <v>472</v>
      </c>
      <c r="F769" s="31" t="str">
        <f>IF(H769=1,INDEX('Match Results'!$G$6:$G$185,MATCH(A769,'Match Results'!$A$6:$A$185,0)),INDEX('Match Results'!$H$6:$H$185,MATCH(A769,'Match Results'!$A$6:$A$185,0)))</f>
        <v>B3</v>
      </c>
      <c r="G769" s="31" t="str">
        <f>IF(H769=1,INDEX('Match Results'!$H$6:$H$185,MATCH(A769,'Match Results'!$A$6:$A$185,0)),INDEX('Match Results'!$G$6:$G$185,MATCH(A769,'Match Results'!$A$6:$A$185,0)))</f>
        <v>A4</v>
      </c>
      <c r="H769" s="31">
        <v>2</v>
      </c>
      <c r="I769" s="31">
        <v>4</v>
      </c>
      <c r="J769" s="32"/>
      <c r="K769" s="31" t="str">
        <f>IF(J769="","",IFERROR(INDEX('Team Rosters'!$C$6:$C$205,MATCH(J769,'Team Rosters'!$B$6:$B$205,0)),"CODE NOT FOUND"))</f>
        <v/>
      </c>
      <c r="L769" s="31" t="str">
        <f t="shared" si="33"/>
        <v/>
      </c>
      <c r="M769" s="31" t="str">
        <f>IF(OR(J769="",C769&lt;&gt;"League",L769&lt;&gt;"VALID"),"",COUNTIFS($J$6:J769,J769,$G$6:G769,G769,$C$6:C769,"League"))</f>
        <v/>
      </c>
      <c r="N769" s="31" t="str">
        <f t="shared" si="34"/>
        <v/>
      </c>
      <c r="O769" s="37" t="str">
        <f t="shared" si="35"/>
        <v/>
      </c>
    </row>
    <row r="770" spans="1:15" ht="15">
      <c r="A770" s="30">
        <v>162</v>
      </c>
      <c r="B770" s="31" t="s">
        <v>547</v>
      </c>
      <c r="C770" s="31" t="s">
        <v>539</v>
      </c>
      <c r="D770" s="31" t="s">
        <v>479</v>
      </c>
      <c r="E770" s="31" t="s">
        <v>475</v>
      </c>
      <c r="F770" s="31" t="str">
        <f>IF(H770=1,INDEX('Match Results'!$G$6:$G$185,MATCH(A770,'Match Results'!$A$6:$A$185,0)),INDEX('Match Results'!$H$6:$H$185,MATCH(A770,'Match Results'!$A$6:$A$185,0)))</f>
        <v>A4</v>
      </c>
      <c r="G770" s="31" t="str">
        <f>IF(H770=1,INDEX('Match Results'!$H$6:$H$185,MATCH(A770,'Match Results'!$A$6:$A$185,0)),INDEX('Match Results'!$G$6:$G$185,MATCH(A770,'Match Results'!$A$6:$A$185,0)))</f>
        <v>B3</v>
      </c>
      <c r="H770" s="31">
        <v>1</v>
      </c>
      <c r="I770" s="31">
        <v>1</v>
      </c>
      <c r="J770" s="32"/>
      <c r="K770" s="31" t="str">
        <f>IF(J770="","",IFERROR(INDEX('Team Rosters'!$C$6:$C$205,MATCH(J770,'Team Rosters'!$B$6:$B$205,0)),"CODE NOT FOUND"))</f>
        <v/>
      </c>
      <c r="L770" s="31" t="str">
        <f t="shared" si="33"/>
        <v/>
      </c>
      <c r="M770" s="31" t="str">
        <f>IF(OR(J770="",C770&lt;&gt;"League",L770&lt;&gt;"VALID"),"",COUNTIFS($J$6:J770,J770,$G$6:G770,G770,$C$6:C770,"League"))</f>
        <v/>
      </c>
      <c r="N770" s="31" t="str">
        <f t="shared" si="34"/>
        <v/>
      </c>
      <c r="O770" s="37" t="str">
        <f t="shared" si="35"/>
        <v/>
      </c>
    </row>
    <row r="771" spans="1:15" ht="15">
      <c r="A771" s="30">
        <v>162</v>
      </c>
      <c r="B771" s="31" t="s">
        <v>547</v>
      </c>
      <c r="C771" s="31" t="s">
        <v>539</v>
      </c>
      <c r="D771" s="31" t="s">
        <v>479</v>
      </c>
      <c r="E771" s="31" t="s">
        <v>475</v>
      </c>
      <c r="F771" s="31" t="str">
        <f>IF(H771=1,INDEX('Match Results'!$G$6:$G$185,MATCH(A771,'Match Results'!$A$6:$A$185,0)),INDEX('Match Results'!$H$6:$H$185,MATCH(A771,'Match Results'!$A$6:$A$185,0)))</f>
        <v>A4</v>
      </c>
      <c r="G771" s="31" t="str">
        <f>IF(H771=1,INDEX('Match Results'!$H$6:$H$185,MATCH(A771,'Match Results'!$A$6:$A$185,0)),INDEX('Match Results'!$G$6:$G$185,MATCH(A771,'Match Results'!$A$6:$A$185,0)))</f>
        <v>B3</v>
      </c>
      <c r="H771" s="31">
        <v>1</v>
      </c>
      <c r="I771" s="31">
        <v>2</v>
      </c>
      <c r="J771" s="32"/>
      <c r="K771" s="31" t="str">
        <f>IF(J771="","",IFERROR(INDEX('Team Rosters'!$C$6:$C$205,MATCH(J771,'Team Rosters'!$B$6:$B$205,0)),"CODE NOT FOUND"))</f>
        <v/>
      </c>
      <c r="L771" s="31" t="str">
        <f t="shared" si="33"/>
        <v/>
      </c>
      <c r="M771" s="31" t="str">
        <f>IF(OR(J771="",C771&lt;&gt;"League",L771&lt;&gt;"VALID"),"",COUNTIFS($J$6:J771,J771,$G$6:G771,G771,$C$6:C771,"League"))</f>
        <v/>
      </c>
      <c r="N771" s="31" t="str">
        <f t="shared" si="34"/>
        <v/>
      </c>
      <c r="O771" s="37" t="str">
        <f t="shared" si="35"/>
        <v/>
      </c>
    </row>
    <row r="772" spans="1:15" ht="15">
      <c r="A772" s="30">
        <v>162</v>
      </c>
      <c r="B772" s="31" t="s">
        <v>547</v>
      </c>
      <c r="C772" s="31" t="s">
        <v>539</v>
      </c>
      <c r="D772" s="31" t="s">
        <v>479</v>
      </c>
      <c r="E772" s="31" t="s">
        <v>475</v>
      </c>
      <c r="F772" s="31" t="str">
        <f>IF(H772=1,INDEX('Match Results'!$G$6:$G$185,MATCH(A772,'Match Results'!$A$6:$A$185,0)),INDEX('Match Results'!$H$6:$H$185,MATCH(A772,'Match Results'!$A$6:$A$185,0)))</f>
        <v>B3</v>
      </c>
      <c r="G772" s="31" t="str">
        <f>IF(H772=1,INDEX('Match Results'!$H$6:$H$185,MATCH(A772,'Match Results'!$A$6:$A$185,0)),INDEX('Match Results'!$G$6:$G$185,MATCH(A772,'Match Results'!$A$6:$A$185,0)))</f>
        <v>A4</v>
      </c>
      <c r="H772" s="31">
        <v>2</v>
      </c>
      <c r="I772" s="31">
        <v>3</v>
      </c>
      <c r="J772" s="32"/>
      <c r="K772" s="31" t="str">
        <f>IF(J772="","",IFERROR(INDEX('Team Rosters'!$C$6:$C$205,MATCH(J772,'Team Rosters'!$B$6:$B$205,0)),"CODE NOT FOUND"))</f>
        <v/>
      </c>
      <c r="L772" s="31" t="str">
        <f t="shared" si="33"/>
        <v/>
      </c>
      <c r="M772" s="31" t="str">
        <f>IF(OR(J772="",C772&lt;&gt;"League",L772&lt;&gt;"VALID"),"",COUNTIFS($J$6:J772,J772,$G$6:G772,G772,$C$6:C772,"League"))</f>
        <v/>
      </c>
      <c r="N772" s="31" t="str">
        <f t="shared" si="34"/>
        <v/>
      </c>
      <c r="O772" s="37" t="str">
        <f t="shared" si="35"/>
        <v/>
      </c>
    </row>
    <row r="773" spans="1:15" ht="15">
      <c r="A773" s="30">
        <v>162</v>
      </c>
      <c r="B773" s="31" t="s">
        <v>547</v>
      </c>
      <c r="C773" s="31" t="s">
        <v>539</v>
      </c>
      <c r="D773" s="31" t="s">
        <v>479</v>
      </c>
      <c r="E773" s="31" t="s">
        <v>475</v>
      </c>
      <c r="F773" s="31" t="str">
        <f>IF(H773=1,INDEX('Match Results'!$G$6:$G$185,MATCH(A773,'Match Results'!$A$6:$A$185,0)),INDEX('Match Results'!$H$6:$H$185,MATCH(A773,'Match Results'!$A$6:$A$185,0)))</f>
        <v>B3</v>
      </c>
      <c r="G773" s="31" t="str">
        <f>IF(H773=1,INDEX('Match Results'!$H$6:$H$185,MATCH(A773,'Match Results'!$A$6:$A$185,0)),INDEX('Match Results'!$G$6:$G$185,MATCH(A773,'Match Results'!$A$6:$A$185,0)))</f>
        <v>A4</v>
      </c>
      <c r="H773" s="31">
        <v>2</v>
      </c>
      <c r="I773" s="31">
        <v>4</v>
      </c>
      <c r="J773" s="32"/>
      <c r="K773" s="31" t="str">
        <f>IF(J773="","",IFERROR(INDEX('Team Rosters'!$C$6:$C$205,MATCH(J773,'Team Rosters'!$B$6:$B$205,0)),"CODE NOT FOUND"))</f>
        <v/>
      </c>
      <c r="L773" s="31" t="str">
        <f t="shared" si="33"/>
        <v/>
      </c>
      <c r="M773" s="31" t="str">
        <f>IF(OR(J773="",C773&lt;&gt;"League",L773&lt;&gt;"VALID"),"",COUNTIFS($J$6:J773,J773,$G$6:G773,G773,$C$6:C773,"League"))</f>
        <v/>
      </c>
      <c r="N773" s="31" t="str">
        <f t="shared" si="34"/>
        <v/>
      </c>
      <c r="O773" s="37" t="str">
        <f t="shared" si="35"/>
        <v/>
      </c>
    </row>
    <row r="774" spans="1:15" ht="15">
      <c r="A774" s="30">
        <v>163</v>
      </c>
      <c r="B774" s="31" t="s">
        <v>547</v>
      </c>
      <c r="C774" s="31" t="s">
        <v>539</v>
      </c>
      <c r="D774" s="31" t="s">
        <v>479</v>
      </c>
      <c r="E774" s="31" t="s">
        <v>477</v>
      </c>
      <c r="F774" s="31" t="str">
        <f>IF(H774=1,INDEX('Match Results'!$G$6:$G$185,MATCH(A774,'Match Results'!$A$6:$A$185,0)),INDEX('Match Results'!$H$6:$H$185,MATCH(A774,'Match Results'!$A$6:$A$185,0)))</f>
        <v>A4</v>
      </c>
      <c r="G774" s="31" t="str">
        <f>IF(H774=1,INDEX('Match Results'!$H$6:$H$185,MATCH(A774,'Match Results'!$A$6:$A$185,0)),INDEX('Match Results'!$G$6:$G$185,MATCH(A774,'Match Results'!$A$6:$A$185,0)))</f>
        <v>B3</v>
      </c>
      <c r="H774" s="31">
        <v>1</v>
      </c>
      <c r="I774" s="31">
        <v>1</v>
      </c>
      <c r="J774" s="32"/>
      <c r="K774" s="31" t="str">
        <f>IF(J774="","",IFERROR(INDEX('Team Rosters'!$C$6:$C$205,MATCH(J774,'Team Rosters'!$B$6:$B$205,0)),"CODE NOT FOUND"))</f>
        <v/>
      </c>
      <c r="L774" s="31" t="str">
        <f t="shared" ref="L774:L837" si="36">IF(J774="","",IF(AND(K774&lt;&gt;"",K774&lt;&gt;"CODE NOT FOUND",LEFT(J774,2)=F774),"VALID","CHECK ROSTER"))</f>
        <v/>
      </c>
      <c r="M774" s="31" t="str">
        <f>IF(OR(J774="",C774&lt;&gt;"League",L774&lt;&gt;"VALID"),"",COUNTIFS($J$6:J774,J774,$G$6:G774,G774,$C$6:C774,"League"))</f>
        <v/>
      </c>
      <c r="N774" s="31" t="str">
        <f t="shared" ref="N774:N837" si="37">IF(J774="","",IF(L774&lt;&gt;"VALID","CHECK ROSTER",IF(C774&lt;&gt;"League","NOT APPLICABLE",IF(M774&lt;=2,"OK","VIOLATION"))))</f>
        <v/>
      </c>
      <c r="O774" s="37" t="str">
        <f t="shared" ref="O774:O837" si="38">IF(N774="VIOLATION",K774&amp;" has played "&amp;M774&amp;" league matches against "&amp;G774&amp;"; limit is 2.","")</f>
        <v/>
      </c>
    </row>
    <row r="775" spans="1:15" ht="15">
      <c r="A775" s="30">
        <v>163</v>
      </c>
      <c r="B775" s="31" t="s">
        <v>547</v>
      </c>
      <c r="C775" s="31" t="s">
        <v>539</v>
      </c>
      <c r="D775" s="31" t="s">
        <v>479</v>
      </c>
      <c r="E775" s="31" t="s">
        <v>477</v>
      </c>
      <c r="F775" s="31" t="str">
        <f>IF(H775=1,INDEX('Match Results'!$G$6:$G$185,MATCH(A775,'Match Results'!$A$6:$A$185,0)),INDEX('Match Results'!$H$6:$H$185,MATCH(A775,'Match Results'!$A$6:$A$185,0)))</f>
        <v>A4</v>
      </c>
      <c r="G775" s="31" t="str">
        <f>IF(H775=1,INDEX('Match Results'!$H$6:$H$185,MATCH(A775,'Match Results'!$A$6:$A$185,0)),INDEX('Match Results'!$G$6:$G$185,MATCH(A775,'Match Results'!$A$6:$A$185,0)))</f>
        <v>B3</v>
      </c>
      <c r="H775" s="31">
        <v>1</v>
      </c>
      <c r="I775" s="31">
        <v>2</v>
      </c>
      <c r="J775" s="32"/>
      <c r="K775" s="31" t="str">
        <f>IF(J775="","",IFERROR(INDEX('Team Rosters'!$C$6:$C$205,MATCH(J775,'Team Rosters'!$B$6:$B$205,0)),"CODE NOT FOUND"))</f>
        <v/>
      </c>
      <c r="L775" s="31" t="str">
        <f t="shared" si="36"/>
        <v/>
      </c>
      <c r="M775" s="31" t="str">
        <f>IF(OR(J775="",C775&lt;&gt;"League",L775&lt;&gt;"VALID"),"",COUNTIFS($J$6:J775,J775,$G$6:G775,G775,$C$6:C775,"League"))</f>
        <v/>
      </c>
      <c r="N775" s="31" t="str">
        <f t="shared" si="37"/>
        <v/>
      </c>
      <c r="O775" s="37" t="str">
        <f t="shared" si="38"/>
        <v/>
      </c>
    </row>
    <row r="776" spans="1:15" ht="15">
      <c r="A776" s="30">
        <v>163</v>
      </c>
      <c r="B776" s="31" t="s">
        <v>547</v>
      </c>
      <c r="C776" s="31" t="s">
        <v>539</v>
      </c>
      <c r="D776" s="31" t="s">
        <v>479</v>
      </c>
      <c r="E776" s="31" t="s">
        <v>477</v>
      </c>
      <c r="F776" s="31" t="str">
        <f>IF(H776=1,INDEX('Match Results'!$G$6:$G$185,MATCH(A776,'Match Results'!$A$6:$A$185,0)),INDEX('Match Results'!$H$6:$H$185,MATCH(A776,'Match Results'!$A$6:$A$185,0)))</f>
        <v>B3</v>
      </c>
      <c r="G776" s="31" t="str">
        <f>IF(H776=1,INDEX('Match Results'!$H$6:$H$185,MATCH(A776,'Match Results'!$A$6:$A$185,0)),INDEX('Match Results'!$G$6:$G$185,MATCH(A776,'Match Results'!$A$6:$A$185,0)))</f>
        <v>A4</v>
      </c>
      <c r="H776" s="31">
        <v>2</v>
      </c>
      <c r="I776" s="31">
        <v>3</v>
      </c>
      <c r="J776" s="32"/>
      <c r="K776" s="31" t="str">
        <f>IF(J776="","",IFERROR(INDEX('Team Rosters'!$C$6:$C$205,MATCH(J776,'Team Rosters'!$B$6:$B$205,0)),"CODE NOT FOUND"))</f>
        <v/>
      </c>
      <c r="L776" s="31" t="str">
        <f t="shared" si="36"/>
        <v/>
      </c>
      <c r="M776" s="31" t="str">
        <f>IF(OR(J776="",C776&lt;&gt;"League",L776&lt;&gt;"VALID"),"",COUNTIFS($J$6:J776,J776,$G$6:G776,G776,$C$6:C776,"League"))</f>
        <v/>
      </c>
      <c r="N776" s="31" t="str">
        <f t="shared" si="37"/>
        <v/>
      </c>
      <c r="O776" s="37" t="str">
        <f t="shared" si="38"/>
        <v/>
      </c>
    </row>
    <row r="777" spans="1:15" ht="15">
      <c r="A777" s="30">
        <v>163</v>
      </c>
      <c r="B777" s="31" t="s">
        <v>547</v>
      </c>
      <c r="C777" s="31" t="s">
        <v>539</v>
      </c>
      <c r="D777" s="31" t="s">
        <v>479</v>
      </c>
      <c r="E777" s="31" t="s">
        <v>477</v>
      </c>
      <c r="F777" s="31" t="str">
        <f>IF(H777=1,INDEX('Match Results'!$G$6:$G$185,MATCH(A777,'Match Results'!$A$6:$A$185,0)),INDEX('Match Results'!$H$6:$H$185,MATCH(A777,'Match Results'!$A$6:$A$185,0)))</f>
        <v>B3</v>
      </c>
      <c r="G777" s="31" t="str">
        <f>IF(H777=1,INDEX('Match Results'!$H$6:$H$185,MATCH(A777,'Match Results'!$A$6:$A$185,0)),INDEX('Match Results'!$G$6:$G$185,MATCH(A777,'Match Results'!$A$6:$A$185,0)))</f>
        <v>A4</v>
      </c>
      <c r="H777" s="31">
        <v>2</v>
      </c>
      <c r="I777" s="31">
        <v>4</v>
      </c>
      <c r="J777" s="32"/>
      <c r="K777" s="31" t="str">
        <f>IF(J777="","",IFERROR(INDEX('Team Rosters'!$C$6:$C$205,MATCH(J777,'Team Rosters'!$B$6:$B$205,0)),"CODE NOT FOUND"))</f>
        <v/>
      </c>
      <c r="L777" s="31" t="str">
        <f t="shared" si="36"/>
        <v/>
      </c>
      <c r="M777" s="31" t="str">
        <f>IF(OR(J777="",C777&lt;&gt;"League",L777&lt;&gt;"VALID"),"",COUNTIFS($J$6:J777,J777,$G$6:G777,G777,$C$6:C777,"League"))</f>
        <v/>
      </c>
      <c r="N777" s="31" t="str">
        <f t="shared" si="37"/>
        <v/>
      </c>
      <c r="O777" s="37" t="str">
        <f t="shared" si="38"/>
        <v/>
      </c>
    </row>
    <row r="778" spans="1:15" ht="15">
      <c r="A778" s="30">
        <v>164</v>
      </c>
      <c r="B778" s="31" t="s">
        <v>547</v>
      </c>
      <c r="C778" s="31" t="s">
        <v>543</v>
      </c>
      <c r="D778" s="31" t="s">
        <v>490</v>
      </c>
      <c r="E778" s="31" t="s">
        <v>491</v>
      </c>
      <c r="F778" s="31" t="str">
        <f>IF(H778=1,INDEX('Match Results'!$G$6:$G$185,MATCH(A778,'Match Results'!$A$6:$A$185,0)),INDEX('Match Results'!$H$6:$H$185,MATCH(A778,'Match Results'!$A$6:$A$185,0)))</f>
        <v>A3</v>
      </c>
      <c r="G778" s="31" t="str">
        <f>IF(H778=1,INDEX('Match Results'!$H$6:$H$185,MATCH(A778,'Match Results'!$A$6:$A$185,0)),INDEX('Match Results'!$G$6:$G$185,MATCH(A778,'Match Results'!$A$6:$A$185,0)))</f>
        <v>B4</v>
      </c>
      <c r="H778" s="31">
        <v>1</v>
      </c>
      <c r="I778" s="31">
        <v>1</v>
      </c>
      <c r="J778" s="32"/>
      <c r="K778" s="31" t="str">
        <f>IF(J778="","",IFERROR(INDEX('Team Rosters'!$C$6:$C$205,MATCH(J778,'Team Rosters'!$B$6:$B$205,0)),"CODE NOT FOUND"))</f>
        <v/>
      </c>
      <c r="L778" s="31" t="str">
        <f t="shared" si="36"/>
        <v/>
      </c>
      <c r="M778" s="31" t="str">
        <f>IF(OR(J778="",C778&lt;&gt;"League",L778&lt;&gt;"VALID"),"",COUNTIFS($J$6:J778,J778,$G$6:G778,G778,$C$6:C778,"League"))</f>
        <v/>
      </c>
      <c r="N778" s="31" t="str">
        <f t="shared" si="37"/>
        <v/>
      </c>
      <c r="O778" s="37" t="str">
        <f t="shared" si="38"/>
        <v/>
      </c>
    </row>
    <row r="779" spans="1:15" ht="15">
      <c r="A779" s="30">
        <v>164</v>
      </c>
      <c r="B779" s="31" t="s">
        <v>547</v>
      </c>
      <c r="C779" s="31" t="s">
        <v>543</v>
      </c>
      <c r="D779" s="31" t="s">
        <v>490</v>
      </c>
      <c r="E779" s="31" t="s">
        <v>491</v>
      </c>
      <c r="F779" s="31" t="str">
        <f>IF(H779=1,INDEX('Match Results'!$G$6:$G$185,MATCH(A779,'Match Results'!$A$6:$A$185,0)),INDEX('Match Results'!$H$6:$H$185,MATCH(A779,'Match Results'!$A$6:$A$185,0)))</f>
        <v>A3</v>
      </c>
      <c r="G779" s="31" t="str">
        <f>IF(H779=1,INDEX('Match Results'!$H$6:$H$185,MATCH(A779,'Match Results'!$A$6:$A$185,0)),INDEX('Match Results'!$G$6:$G$185,MATCH(A779,'Match Results'!$A$6:$A$185,0)))</f>
        <v>B4</v>
      </c>
      <c r="H779" s="31">
        <v>1</v>
      </c>
      <c r="I779" s="31">
        <v>2</v>
      </c>
      <c r="J779" s="32"/>
      <c r="K779" s="31" t="str">
        <f>IF(J779="","",IFERROR(INDEX('Team Rosters'!$C$6:$C$205,MATCH(J779,'Team Rosters'!$B$6:$B$205,0)),"CODE NOT FOUND"))</f>
        <v/>
      </c>
      <c r="L779" s="31" t="str">
        <f t="shared" si="36"/>
        <v/>
      </c>
      <c r="M779" s="31" t="str">
        <f>IF(OR(J779="",C779&lt;&gt;"League",L779&lt;&gt;"VALID"),"",COUNTIFS($J$6:J779,J779,$G$6:G779,G779,$C$6:C779,"League"))</f>
        <v/>
      </c>
      <c r="N779" s="31" t="str">
        <f t="shared" si="37"/>
        <v/>
      </c>
      <c r="O779" s="37" t="str">
        <f t="shared" si="38"/>
        <v/>
      </c>
    </row>
    <row r="780" spans="1:15" ht="15">
      <c r="A780" s="30">
        <v>164</v>
      </c>
      <c r="B780" s="31" t="s">
        <v>547</v>
      </c>
      <c r="C780" s="31" t="s">
        <v>543</v>
      </c>
      <c r="D780" s="31" t="s">
        <v>490</v>
      </c>
      <c r="E780" s="31" t="s">
        <v>491</v>
      </c>
      <c r="F780" s="31" t="str">
        <f>IF(H780=1,INDEX('Match Results'!$G$6:$G$185,MATCH(A780,'Match Results'!$A$6:$A$185,0)),INDEX('Match Results'!$H$6:$H$185,MATCH(A780,'Match Results'!$A$6:$A$185,0)))</f>
        <v>A3</v>
      </c>
      <c r="G780" s="31" t="str">
        <f>IF(H780=1,INDEX('Match Results'!$H$6:$H$185,MATCH(A780,'Match Results'!$A$6:$A$185,0)),INDEX('Match Results'!$G$6:$G$185,MATCH(A780,'Match Results'!$A$6:$A$185,0)))</f>
        <v>B4</v>
      </c>
      <c r="H780" s="31">
        <v>1</v>
      </c>
      <c r="I780" s="31">
        <v>3</v>
      </c>
      <c r="J780" s="32"/>
      <c r="K780" s="31" t="str">
        <f>IF(J780="","",IFERROR(INDEX('Team Rosters'!$C$6:$C$205,MATCH(J780,'Team Rosters'!$B$6:$B$205,0)),"CODE NOT FOUND"))</f>
        <v/>
      </c>
      <c r="L780" s="31" t="str">
        <f t="shared" si="36"/>
        <v/>
      </c>
      <c r="M780" s="31" t="str">
        <f>IF(OR(J780="",C780&lt;&gt;"League",L780&lt;&gt;"VALID"),"",COUNTIFS($J$6:J780,J780,$G$6:G780,G780,$C$6:C780,"League"))</f>
        <v/>
      </c>
      <c r="N780" s="31" t="str">
        <f t="shared" si="37"/>
        <v/>
      </c>
      <c r="O780" s="37" t="str">
        <f t="shared" si="38"/>
        <v/>
      </c>
    </row>
    <row r="781" spans="1:15" ht="15">
      <c r="A781" s="30">
        <v>164</v>
      </c>
      <c r="B781" s="31" t="s">
        <v>547</v>
      </c>
      <c r="C781" s="31" t="s">
        <v>543</v>
      </c>
      <c r="D781" s="31" t="s">
        <v>490</v>
      </c>
      <c r="E781" s="31" t="s">
        <v>491</v>
      </c>
      <c r="F781" s="31" t="str">
        <f>IF(H781=1,INDEX('Match Results'!$G$6:$G$185,MATCH(A781,'Match Results'!$A$6:$A$185,0)),INDEX('Match Results'!$H$6:$H$185,MATCH(A781,'Match Results'!$A$6:$A$185,0)))</f>
        <v>A3</v>
      </c>
      <c r="G781" s="31" t="str">
        <f>IF(H781=1,INDEX('Match Results'!$H$6:$H$185,MATCH(A781,'Match Results'!$A$6:$A$185,0)),INDEX('Match Results'!$G$6:$G$185,MATCH(A781,'Match Results'!$A$6:$A$185,0)))</f>
        <v>B4</v>
      </c>
      <c r="H781" s="31">
        <v>1</v>
      </c>
      <c r="I781" s="31">
        <v>4</v>
      </c>
      <c r="J781" s="32"/>
      <c r="K781" s="31" t="str">
        <f>IF(J781="","",IFERROR(INDEX('Team Rosters'!$C$6:$C$205,MATCH(J781,'Team Rosters'!$B$6:$B$205,0)),"CODE NOT FOUND"))</f>
        <v/>
      </c>
      <c r="L781" s="31" t="str">
        <f t="shared" si="36"/>
        <v/>
      </c>
      <c r="M781" s="31" t="str">
        <f>IF(OR(J781="",C781&lt;&gt;"League",L781&lt;&gt;"VALID"),"",COUNTIFS($J$6:J781,J781,$G$6:G781,G781,$C$6:C781,"League"))</f>
        <v/>
      </c>
      <c r="N781" s="31" t="str">
        <f t="shared" si="37"/>
        <v/>
      </c>
      <c r="O781" s="37" t="str">
        <f t="shared" si="38"/>
        <v/>
      </c>
    </row>
    <row r="782" spans="1:15" ht="15">
      <c r="A782" s="30">
        <v>164</v>
      </c>
      <c r="B782" s="31" t="s">
        <v>547</v>
      </c>
      <c r="C782" s="31" t="s">
        <v>543</v>
      </c>
      <c r="D782" s="31" t="s">
        <v>490</v>
      </c>
      <c r="E782" s="31" t="s">
        <v>491</v>
      </c>
      <c r="F782" s="31" t="str">
        <f>IF(H782=1,INDEX('Match Results'!$G$6:$G$185,MATCH(A782,'Match Results'!$A$6:$A$185,0)),INDEX('Match Results'!$H$6:$H$185,MATCH(A782,'Match Results'!$A$6:$A$185,0)))</f>
        <v>A3</v>
      </c>
      <c r="G782" s="31" t="str">
        <f>IF(H782=1,INDEX('Match Results'!$H$6:$H$185,MATCH(A782,'Match Results'!$A$6:$A$185,0)),INDEX('Match Results'!$G$6:$G$185,MATCH(A782,'Match Results'!$A$6:$A$185,0)))</f>
        <v>B4</v>
      </c>
      <c r="H782" s="31">
        <v>1</v>
      </c>
      <c r="I782" s="31">
        <v>5</v>
      </c>
      <c r="J782" s="32"/>
      <c r="K782" s="31" t="str">
        <f>IF(J782="","",IFERROR(INDEX('Team Rosters'!$C$6:$C$205,MATCH(J782,'Team Rosters'!$B$6:$B$205,0)),"CODE NOT FOUND"))</f>
        <v/>
      </c>
      <c r="L782" s="31" t="str">
        <f t="shared" si="36"/>
        <v/>
      </c>
      <c r="M782" s="31" t="str">
        <f>IF(OR(J782="",C782&lt;&gt;"League",L782&lt;&gt;"VALID"),"",COUNTIFS($J$6:J782,J782,$G$6:G782,G782,$C$6:C782,"League"))</f>
        <v/>
      </c>
      <c r="N782" s="31" t="str">
        <f t="shared" si="37"/>
        <v/>
      </c>
      <c r="O782" s="37" t="str">
        <f t="shared" si="38"/>
        <v/>
      </c>
    </row>
    <row r="783" spans="1:15" ht="15">
      <c r="A783" s="30">
        <v>164</v>
      </c>
      <c r="B783" s="31" t="s">
        <v>547</v>
      </c>
      <c r="C783" s="31" t="s">
        <v>543</v>
      </c>
      <c r="D783" s="31" t="s">
        <v>490</v>
      </c>
      <c r="E783" s="31" t="s">
        <v>491</v>
      </c>
      <c r="F783" s="31" t="str">
        <f>IF(H783=1,INDEX('Match Results'!$G$6:$G$185,MATCH(A783,'Match Results'!$A$6:$A$185,0)),INDEX('Match Results'!$H$6:$H$185,MATCH(A783,'Match Results'!$A$6:$A$185,0)))</f>
        <v>A3</v>
      </c>
      <c r="G783" s="31" t="str">
        <f>IF(H783=1,INDEX('Match Results'!$H$6:$H$185,MATCH(A783,'Match Results'!$A$6:$A$185,0)),INDEX('Match Results'!$G$6:$G$185,MATCH(A783,'Match Results'!$A$6:$A$185,0)))</f>
        <v>B4</v>
      </c>
      <c r="H783" s="31">
        <v>1</v>
      </c>
      <c r="I783" s="31">
        <v>6</v>
      </c>
      <c r="J783" s="32"/>
      <c r="K783" s="31" t="str">
        <f>IF(J783="","",IFERROR(INDEX('Team Rosters'!$C$6:$C$205,MATCH(J783,'Team Rosters'!$B$6:$B$205,0)),"CODE NOT FOUND"))</f>
        <v/>
      </c>
      <c r="L783" s="31" t="str">
        <f t="shared" si="36"/>
        <v/>
      </c>
      <c r="M783" s="31" t="str">
        <f>IF(OR(J783="",C783&lt;&gt;"League",L783&lt;&gt;"VALID"),"",COUNTIFS($J$6:J783,J783,$G$6:G783,G783,$C$6:C783,"League"))</f>
        <v/>
      </c>
      <c r="N783" s="31" t="str">
        <f t="shared" si="37"/>
        <v/>
      </c>
      <c r="O783" s="37" t="str">
        <f t="shared" si="38"/>
        <v/>
      </c>
    </row>
    <row r="784" spans="1:15" ht="15">
      <c r="A784" s="30">
        <v>164</v>
      </c>
      <c r="B784" s="31" t="s">
        <v>547</v>
      </c>
      <c r="C784" s="31" t="s">
        <v>543</v>
      </c>
      <c r="D784" s="31" t="s">
        <v>490</v>
      </c>
      <c r="E784" s="31" t="s">
        <v>491</v>
      </c>
      <c r="F784" s="31" t="str">
        <f>IF(H784=1,INDEX('Match Results'!$G$6:$G$185,MATCH(A784,'Match Results'!$A$6:$A$185,0)),INDEX('Match Results'!$H$6:$H$185,MATCH(A784,'Match Results'!$A$6:$A$185,0)))</f>
        <v>A3</v>
      </c>
      <c r="G784" s="31" t="str">
        <f>IF(H784=1,INDEX('Match Results'!$H$6:$H$185,MATCH(A784,'Match Results'!$A$6:$A$185,0)),INDEX('Match Results'!$G$6:$G$185,MATCH(A784,'Match Results'!$A$6:$A$185,0)))</f>
        <v>B4</v>
      </c>
      <c r="H784" s="31">
        <v>1</v>
      </c>
      <c r="I784" s="31">
        <v>7</v>
      </c>
      <c r="J784" s="32"/>
      <c r="K784" s="31" t="str">
        <f>IF(J784="","",IFERROR(INDEX('Team Rosters'!$C$6:$C$205,MATCH(J784,'Team Rosters'!$B$6:$B$205,0)),"CODE NOT FOUND"))</f>
        <v/>
      </c>
      <c r="L784" s="31" t="str">
        <f t="shared" si="36"/>
        <v/>
      </c>
      <c r="M784" s="31" t="str">
        <f>IF(OR(J784="",C784&lt;&gt;"League",L784&lt;&gt;"VALID"),"",COUNTIFS($J$6:J784,J784,$G$6:G784,G784,$C$6:C784,"League"))</f>
        <v/>
      </c>
      <c r="N784" s="31" t="str">
        <f t="shared" si="37"/>
        <v/>
      </c>
      <c r="O784" s="37" t="str">
        <f t="shared" si="38"/>
        <v/>
      </c>
    </row>
    <row r="785" spans="1:15" ht="15">
      <c r="A785" s="30">
        <v>164</v>
      </c>
      <c r="B785" s="31" t="s">
        <v>547</v>
      </c>
      <c r="C785" s="31" t="s">
        <v>543</v>
      </c>
      <c r="D785" s="31" t="s">
        <v>490</v>
      </c>
      <c r="E785" s="31" t="s">
        <v>491</v>
      </c>
      <c r="F785" s="31" t="str">
        <f>IF(H785=1,INDEX('Match Results'!$G$6:$G$185,MATCH(A785,'Match Results'!$A$6:$A$185,0)),INDEX('Match Results'!$H$6:$H$185,MATCH(A785,'Match Results'!$A$6:$A$185,0)))</f>
        <v>B4</v>
      </c>
      <c r="G785" s="31" t="str">
        <f>IF(H785=1,INDEX('Match Results'!$H$6:$H$185,MATCH(A785,'Match Results'!$A$6:$A$185,0)),INDEX('Match Results'!$G$6:$G$185,MATCH(A785,'Match Results'!$A$6:$A$185,0)))</f>
        <v>A3</v>
      </c>
      <c r="H785" s="31">
        <v>2</v>
      </c>
      <c r="I785" s="31">
        <v>8</v>
      </c>
      <c r="J785" s="32"/>
      <c r="K785" s="31" t="str">
        <f>IF(J785="","",IFERROR(INDEX('Team Rosters'!$C$6:$C$205,MATCH(J785,'Team Rosters'!$B$6:$B$205,0)),"CODE NOT FOUND"))</f>
        <v/>
      </c>
      <c r="L785" s="31" t="str">
        <f t="shared" si="36"/>
        <v/>
      </c>
      <c r="M785" s="31" t="str">
        <f>IF(OR(J785="",C785&lt;&gt;"League",L785&lt;&gt;"VALID"),"",COUNTIFS($J$6:J785,J785,$G$6:G785,G785,$C$6:C785,"League"))</f>
        <v/>
      </c>
      <c r="N785" s="31" t="str">
        <f t="shared" si="37"/>
        <v/>
      </c>
      <c r="O785" s="37" t="str">
        <f t="shared" si="38"/>
        <v/>
      </c>
    </row>
    <row r="786" spans="1:15" ht="15">
      <c r="A786" s="30">
        <v>164</v>
      </c>
      <c r="B786" s="31" t="s">
        <v>547</v>
      </c>
      <c r="C786" s="31" t="s">
        <v>543</v>
      </c>
      <c r="D786" s="31" t="s">
        <v>490</v>
      </c>
      <c r="E786" s="31" t="s">
        <v>491</v>
      </c>
      <c r="F786" s="31" t="str">
        <f>IF(H786=1,INDEX('Match Results'!$G$6:$G$185,MATCH(A786,'Match Results'!$A$6:$A$185,0)),INDEX('Match Results'!$H$6:$H$185,MATCH(A786,'Match Results'!$A$6:$A$185,0)))</f>
        <v>B4</v>
      </c>
      <c r="G786" s="31" t="str">
        <f>IF(H786=1,INDEX('Match Results'!$H$6:$H$185,MATCH(A786,'Match Results'!$A$6:$A$185,0)),INDEX('Match Results'!$G$6:$G$185,MATCH(A786,'Match Results'!$A$6:$A$185,0)))</f>
        <v>A3</v>
      </c>
      <c r="H786" s="31">
        <v>2</v>
      </c>
      <c r="I786" s="31">
        <v>9</v>
      </c>
      <c r="J786" s="32"/>
      <c r="K786" s="31" t="str">
        <f>IF(J786="","",IFERROR(INDEX('Team Rosters'!$C$6:$C$205,MATCH(J786,'Team Rosters'!$B$6:$B$205,0)),"CODE NOT FOUND"))</f>
        <v/>
      </c>
      <c r="L786" s="31" t="str">
        <f t="shared" si="36"/>
        <v/>
      </c>
      <c r="M786" s="31" t="str">
        <f>IF(OR(J786="",C786&lt;&gt;"League",L786&lt;&gt;"VALID"),"",COUNTIFS($J$6:J786,J786,$G$6:G786,G786,$C$6:C786,"League"))</f>
        <v/>
      </c>
      <c r="N786" s="31" t="str">
        <f t="shared" si="37"/>
        <v/>
      </c>
      <c r="O786" s="37" t="str">
        <f t="shared" si="38"/>
        <v/>
      </c>
    </row>
    <row r="787" spans="1:15" ht="15">
      <c r="A787" s="30">
        <v>164</v>
      </c>
      <c r="B787" s="31" t="s">
        <v>547</v>
      </c>
      <c r="C787" s="31" t="s">
        <v>543</v>
      </c>
      <c r="D787" s="31" t="s">
        <v>490</v>
      </c>
      <c r="E787" s="31" t="s">
        <v>491</v>
      </c>
      <c r="F787" s="31" t="str">
        <f>IF(H787=1,INDEX('Match Results'!$G$6:$G$185,MATCH(A787,'Match Results'!$A$6:$A$185,0)),INDEX('Match Results'!$H$6:$H$185,MATCH(A787,'Match Results'!$A$6:$A$185,0)))</f>
        <v>B4</v>
      </c>
      <c r="G787" s="31" t="str">
        <f>IF(H787=1,INDEX('Match Results'!$H$6:$H$185,MATCH(A787,'Match Results'!$A$6:$A$185,0)),INDEX('Match Results'!$G$6:$G$185,MATCH(A787,'Match Results'!$A$6:$A$185,0)))</f>
        <v>A3</v>
      </c>
      <c r="H787" s="31">
        <v>2</v>
      </c>
      <c r="I787" s="31">
        <v>10</v>
      </c>
      <c r="J787" s="32"/>
      <c r="K787" s="31" t="str">
        <f>IF(J787="","",IFERROR(INDEX('Team Rosters'!$C$6:$C$205,MATCH(J787,'Team Rosters'!$B$6:$B$205,0)),"CODE NOT FOUND"))</f>
        <v/>
      </c>
      <c r="L787" s="31" t="str">
        <f t="shared" si="36"/>
        <v/>
      </c>
      <c r="M787" s="31" t="str">
        <f>IF(OR(J787="",C787&lt;&gt;"League",L787&lt;&gt;"VALID"),"",COUNTIFS($J$6:J787,J787,$G$6:G787,G787,$C$6:C787,"League"))</f>
        <v/>
      </c>
      <c r="N787" s="31" t="str">
        <f t="shared" si="37"/>
        <v/>
      </c>
      <c r="O787" s="37" t="str">
        <f t="shared" si="38"/>
        <v/>
      </c>
    </row>
    <row r="788" spans="1:15" ht="15">
      <c r="A788" s="30">
        <v>164</v>
      </c>
      <c r="B788" s="31" t="s">
        <v>547</v>
      </c>
      <c r="C788" s="31" t="s">
        <v>543</v>
      </c>
      <c r="D788" s="31" t="s">
        <v>490</v>
      </c>
      <c r="E788" s="31" t="s">
        <v>491</v>
      </c>
      <c r="F788" s="31" t="str">
        <f>IF(H788=1,INDEX('Match Results'!$G$6:$G$185,MATCH(A788,'Match Results'!$A$6:$A$185,0)),INDEX('Match Results'!$H$6:$H$185,MATCH(A788,'Match Results'!$A$6:$A$185,0)))</f>
        <v>B4</v>
      </c>
      <c r="G788" s="31" t="str">
        <f>IF(H788=1,INDEX('Match Results'!$H$6:$H$185,MATCH(A788,'Match Results'!$A$6:$A$185,0)),INDEX('Match Results'!$G$6:$G$185,MATCH(A788,'Match Results'!$A$6:$A$185,0)))</f>
        <v>A3</v>
      </c>
      <c r="H788" s="31">
        <v>2</v>
      </c>
      <c r="I788" s="31">
        <v>11</v>
      </c>
      <c r="J788" s="32"/>
      <c r="K788" s="31" t="str">
        <f>IF(J788="","",IFERROR(INDEX('Team Rosters'!$C$6:$C$205,MATCH(J788,'Team Rosters'!$B$6:$B$205,0)),"CODE NOT FOUND"))</f>
        <v/>
      </c>
      <c r="L788" s="31" t="str">
        <f t="shared" si="36"/>
        <v/>
      </c>
      <c r="M788" s="31" t="str">
        <f>IF(OR(J788="",C788&lt;&gt;"League",L788&lt;&gt;"VALID"),"",COUNTIFS($J$6:J788,J788,$G$6:G788,G788,$C$6:C788,"League"))</f>
        <v/>
      </c>
      <c r="N788" s="31" t="str">
        <f t="shared" si="37"/>
        <v/>
      </c>
      <c r="O788" s="37" t="str">
        <f t="shared" si="38"/>
        <v/>
      </c>
    </row>
    <row r="789" spans="1:15" ht="15">
      <c r="A789" s="30">
        <v>164</v>
      </c>
      <c r="B789" s="31" t="s">
        <v>547</v>
      </c>
      <c r="C789" s="31" t="s">
        <v>543</v>
      </c>
      <c r="D789" s="31" t="s">
        <v>490</v>
      </c>
      <c r="E789" s="31" t="s">
        <v>491</v>
      </c>
      <c r="F789" s="31" t="str">
        <f>IF(H789=1,INDEX('Match Results'!$G$6:$G$185,MATCH(A789,'Match Results'!$A$6:$A$185,0)),INDEX('Match Results'!$H$6:$H$185,MATCH(A789,'Match Results'!$A$6:$A$185,0)))</f>
        <v>B4</v>
      </c>
      <c r="G789" s="31" t="str">
        <f>IF(H789=1,INDEX('Match Results'!$H$6:$H$185,MATCH(A789,'Match Results'!$A$6:$A$185,0)),INDEX('Match Results'!$G$6:$G$185,MATCH(A789,'Match Results'!$A$6:$A$185,0)))</f>
        <v>A3</v>
      </c>
      <c r="H789" s="31">
        <v>2</v>
      </c>
      <c r="I789" s="31">
        <v>12</v>
      </c>
      <c r="J789" s="32"/>
      <c r="K789" s="31" t="str">
        <f>IF(J789="","",IFERROR(INDEX('Team Rosters'!$C$6:$C$205,MATCH(J789,'Team Rosters'!$B$6:$B$205,0)),"CODE NOT FOUND"))</f>
        <v/>
      </c>
      <c r="L789" s="31" t="str">
        <f t="shared" si="36"/>
        <v/>
      </c>
      <c r="M789" s="31" t="str">
        <f>IF(OR(J789="",C789&lt;&gt;"League",L789&lt;&gt;"VALID"),"",COUNTIFS($J$6:J789,J789,$G$6:G789,G789,$C$6:C789,"League"))</f>
        <v/>
      </c>
      <c r="N789" s="31" t="str">
        <f t="shared" si="37"/>
        <v/>
      </c>
      <c r="O789" s="37" t="str">
        <f t="shared" si="38"/>
        <v/>
      </c>
    </row>
    <row r="790" spans="1:15" ht="15">
      <c r="A790" s="30">
        <v>164</v>
      </c>
      <c r="B790" s="31" t="s">
        <v>547</v>
      </c>
      <c r="C790" s="31" t="s">
        <v>543</v>
      </c>
      <c r="D790" s="31" t="s">
        <v>490</v>
      </c>
      <c r="E790" s="31" t="s">
        <v>491</v>
      </c>
      <c r="F790" s="31" t="str">
        <f>IF(H790=1,INDEX('Match Results'!$G$6:$G$185,MATCH(A790,'Match Results'!$A$6:$A$185,0)),INDEX('Match Results'!$H$6:$H$185,MATCH(A790,'Match Results'!$A$6:$A$185,0)))</f>
        <v>B4</v>
      </c>
      <c r="G790" s="31" t="str">
        <f>IF(H790=1,INDEX('Match Results'!$H$6:$H$185,MATCH(A790,'Match Results'!$A$6:$A$185,0)),INDEX('Match Results'!$G$6:$G$185,MATCH(A790,'Match Results'!$A$6:$A$185,0)))</f>
        <v>A3</v>
      </c>
      <c r="H790" s="31">
        <v>2</v>
      </c>
      <c r="I790" s="31">
        <v>13</v>
      </c>
      <c r="J790" s="32"/>
      <c r="K790" s="31" t="str">
        <f>IF(J790="","",IFERROR(INDEX('Team Rosters'!$C$6:$C$205,MATCH(J790,'Team Rosters'!$B$6:$B$205,0)),"CODE NOT FOUND"))</f>
        <v/>
      </c>
      <c r="L790" s="31" t="str">
        <f t="shared" si="36"/>
        <v/>
      </c>
      <c r="M790" s="31" t="str">
        <f>IF(OR(J790="",C790&lt;&gt;"League",L790&lt;&gt;"VALID"),"",COUNTIFS($J$6:J790,J790,$G$6:G790,G790,$C$6:C790,"League"))</f>
        <v/>
      </c>
      <c r="N790" s="31" t="str">
        <f t="shared" si="37"/>
        <v/>
      </c>
      <c r="O790" s="37" t="str">
        <f t="shared" si="38"/>
        <v/>
      </c>
    </row>
    <row r="791" spans="1:15" ht="15">
      <c r="A791" s="30">
        <v>164</v>
      </c>
      <c r="B791" s="31" t="s">
        <v>547</v>
      </c>
      <c r="C791" s="31" t="s">
        <v>543</v>
      </c>
      <c r="D791" s="31" t="s">
        <v>490</v>
      </c>
      <c r="E791" s="31" t="s">
        <v>491</v>
      </c>
      <c r="F791" s="31" t="str">
        <f>IF(H791=1,INDEX('Match Results'!$G$6:$G$185,MATCH(A791,'Match Results'!$A$6:$A$185,0)),INDEX('Match Results'!$H$6:$H$185,MATCH(A791,'Match Results'!$A$6:$A$185,0)))</f>
        <v>B4</v>
      </c>
      <c r="G791" s="31" t="str">
        <f>IF(H791=1,INDEX('Match Results'!$H$6:$H$185,MATCH(A791,'Match Results'!$A$6:$A$185,0)),INDEX('Match Results'!$G$6:$G$185,MATCH(A791,'Match Results'!$A$6:$A$185,0)))</f>
        <v>A3</v>
      </c>
      <c r="H791" s="31">
        <v>2</v>
      </c>
      <c r="I791" s="31">
        <v>14</v>
      </c>
      <c r="J791" s="32"/>
      <c r="K791" s="31" t="str">
        <f>IF(J791="","",IFERROR(INDEX('Team Rosters'!$C$6:$C$205,MATCH(J791,'Team Rosters'!$B$6:$B$205,0)),"CODE NOT FOUND"))</f>
        <v/>
      </c>
      <c r="L791" s="31" t="str">
        <f t="shared" si="36"/>
        <v/>
      </c>
      <c r="M791" s="31" t="str">
        <f>IF(OR(J791="",C791&lt;&gt;"League",L791&lt;&gt;"VALID"),"",COUNTIFS($J$6:J791,J791,$G$6:G791,G791,$C$6:C791,"League"))</f>
        <v/>
      </c>
      <c r="N791" s="31" t="str">
        <f t="shared" si="37"/>
        <v/>
      </c>
      <c r="O791" s="37" t="str">
        <f t="shared" si="38"/>
        <v/>
      </c>
    </row>
    <row r="792" spans="1:15" ht="15">
      <c r="A792" s="30">
        <v>165</v>
      </c>
      <c r="B792" s="31" t="s">
        <v>548</v>
      </c>
      <c r="C792" s="31" t="s">
        <v>543</v>
      </c>
      <c r="D792" s="31" t="s">
        <v>479</v>
      </c>
      <c r="E792" s="31" t="s">
        <v>472</v>
      </c>
      <c r="F792" s="31" t="str">
        <f>IF(H792=1,INDEX('Match Results'!$G$6:$G$185,MATCH(A792,'Match Results'!$A$6:$A$185,0)),INDEX('Match Results'!$H$6:$H$185,MATCH(A792,'Match Results'!$A$6:$A$185,0)))</f>
        <v>A3</v>
      </c>
      <c r="G792" s="31" t="str">
        <f>IF(H792=1,INDEX('Match Results'!$H$6:$H$185,MATCH(A792,'Match Results'!$A$6:$A$185,0)),INDEX('Match Results'!$G$6:$G$185,MATCH(A792,'Match Results'!$A$6:$A$185,0)))</f>
        <v>B4</v>
      </c>
      <c r="H792" s="31">
        <v>1</v>
      </c>
      <c r="I792" s="31">
        <v>1</v>
      </c>
      <c r="J792" s="32"/>
      <c r="K792" s="31" t="str">
        <f>IF(J792="","",IFERROR(INDEX('Team Rosters'!$C$6:$C$205,MATCH(J792,'Team Rosters'!$B$6:$B$205,0)),"CODE NOT FOUND"))</f>
        <v/>
      </c>
      <c r="L792" s="31" t="str">
        <f t="shared" si="36"/>
        <v/>
      </c>
      <c r="M792" s="31" t="str">
        <f>IF(OR(J792="",C792&lt;&gt;"League",L792&lt;&gt;"VALID"),"",COUNTIFS($J$6:J792,J792,$G$6:G792,G792,$C$6:C792,"League"))</f>
        <v/>
      </c>
      <c r="N792" s="31" t="str">
        <f t="shared" si="37"/>
        <v/>
      </c>
      <c r="O792" s="37" t="str">
        <f t="shared" si="38"/>
        <v/>
      </c>
    </row>
    <row r="793" spans="1:15" ht="15">
      <c r="A793" s="30">
        <v>165</v>
      </c>
      <c r="B793" s="31" t="s">
        <v>548</v>
      </c>
      <c r="C793" s="31" t="s">
        <v>543</v>
      </c>
      <c r="D793" s="31" t="s">
        <v>479</v>
      </c>
      <c r="E793" s="31" t="s">
        <v>472</v>
      </c>
      <c r="F793" s="31" t="str">
        <f>IF(H793=1,INDEX('Match Results'!$G$6:$G$185,MATCH(A793,'Match Results'!$A$6:$A$185,0)),INDEX('Match Results'!$H$6:$H$185,MATCH(A793,'Match Results'!$A$6:$A$185,0)))</f>
        <v>A3</v>
      </c>
      <c r="G793" s="31" t="str">
        <f>IF(H793=1,INDEX('Match Results'!$H$6:$H$185,MATCH(A793,'Match Results'!$A$6:$A$185,0)),INDEX('Match Results'!$G$6:$G$185,MATCH(A793,'Match Results'!$A$6:$A$185,0)))</f>
        <v>B4</v>
      </c>
      <c r="H793" s="31">
        <v>1</v>
      </c>
      <c r="I793" s="31">
        <v>2</v>
      </c>
      <c r="J793" s="32"/>
      <c r="K793" s="31" t="str">
        <f>IF(J793="","",IFERROR(INDEX('Team Rosters'!$C$6:$C$205,MATCH(J793,'Team Rosters'!$B$6:$B$205,0)),"CODE NOT FOUND"))</f>
        <v/>
      </c>
      <c r="L793" s="31" t="str">
        <f t="shared" si="36"/>
        <v/>
      </c>
      <c r="M793" s="31" t="str">
        <f>IF(OR(J793="",C793&lt;&gt;"League",L793&lt;&gt;"VALID"),"",COUNTIFS($J$6:J793,J793,$G$6:G793,G793,$C$6:C793,"League"))</f>
        <v/>
      </c>
      <c r="N793" s="31" t="str">
        <f t="shared" si="37"/>
        <v/>
      </c>
      <c r="O793" s="37" t="str">
        <f t="shared" si="38"/>
        <v/>
      </c>
    </row>
    <row r="794" spans="1:15" ht="15">
      <c r="A794" s="30">
        <v>165</v>
      </c>
      <c r="B794" s="31" t="s">
        <v>548</v>
      </c>
      <c r="C794" s="31" t="s">
        <v>543</v>
      </c>
      <c r="D794" s="31" t="s">
        <v>479</v>
      </c>
      <c r="E794" s="31" t="s">
        <v>472</v>
      </c>
      <c r="F794" s="31" t="str">
        <f>IF(H794=1,INDEX('Match Results'!$G$6:$G$185,MATCH(A794,'Match Results'!$A$6:$A$185,0)),INDEX('Match Results'!$H$6:$H$185,MATCH(A794,'Match Results'!$A$6:$A$185,0)))</f>
        <v>B4</v>
      </c>
      <c r="G794" s="31" t="str">
        <f>IF(H794=1,INDEX('Match Results'!$H$6:$H$185,MATCH(A794,'Match Results'!$A$6:$A$185,0)),INDEX('Match Results'!$G$6:$G$185,MATCH(A794,'Match Results'!$A$6:$A$185,0)))</f>
        <v>A3</v>
      </c>
      <c r="H794" s="31">
        <v>2</v>
      </c>
      <c r="I794" s="31">
        <v>3</v>
      </c>
      <c r="J794" s="32"/>
      <c r="K794" s="31" t="str">
        <f>IF(J794="","",IFERROR(INDEX('Team Rosters'!$C$6:$C$205,MATCH(J794,'Team Rosters'!$B$6:$B$205,0)),"CODE NOT FOUND"))</f>
        <v/>
      </c>
      <c r="L794" s="31" t="str">
        <f t="shared" si="36"/>
        <v/>
      </c>
      <c r="M794" s="31" t="str">
        <f>IF(OR(J794="",C794&lt;&gt;"League",L794&lt;&gt;"VALID"),"",COUNTIFS($J$6:J794,J794,$G$6:G794,G794,$C$6:C794,"League"))</f>
        <v/>
      </c>
      <c r="N794" s="31" t="str">
        <f t="shared" si="37"/>
        <v/>
      </c>
      <c r="O794" s="37" t="str">
        <f t="shared" si="38"/>
        <v/>
      </c>
    </row>
    <row r="795" spans="1:15" ht="15">
      <c r="A795" s="30">
        <v>165</v>
      </c>
      <c r="B795" s="31" t="s">
        <v>548</v>
      </c>
      <c r="C795" s="31" t="s">
        <v>543</v>
      </c>
      <c r="D795" s="31" t="s">
        <v>479</v>
      </c>
      <c r="E795" s="31" t="s">
        <v>472</v>
      </c>
      <c r="F795" s="31" t="str">
        <f>IF(H795=1,INDEX('Match Results'!$G$6:$G$185,MATCH(A795,'Match Results'!$A$6:$A$185,0)),INDEX('Match Results'!$H$6:$H$185,MATCH(A795,'Match Results'!$A$6:$A$185,0)))</f>
        <v>B4</v>
      </c>
      <c r="G795" s="31" t="str">
        <f>IF(H795=1,INDEX('Match Results'!$H$6:$H$185,MATCH(A795,'Match Results'!$A$6:$A$185,0)),INDEX('Match Results'!$G$6:$G$185,MATCH(A795,'Match Results'!$A$6:$A$185,0)))</f>
        <v>A3</v>
      </c>
      <c r="H795" s="31">
        <v>2</v>
      </c>
      <c r="I795" s="31">
        <v>4</v>
      </c>
      <c r="J795" s="32"/>
      <c r="K795" s="31" t="str">
        <f>IF(J795="","",IFERROR(INDEX('Team Rosters'!$C$6:$C$205,MATCH(J795,'Team Rosters'!$B$6:$B$205,0)),"CODE NOT FOUND"))</f>
        <v/>
      </c>
      <c r="L795" s="31" t="str">
        <f t="shared" si="36"/>
        <v/>
      </c>
      <c r="M795" s="31" t="str">
        <f>IF(OR(J795="",C795&lt;&gt;"League",L795&lt;&gt;"VALID"),"",COUNTIFS($J$6:J795,J795,$G$6:G795,G795,$C$6:C795,"League"))</f>
        <v/>
      </c>
      <c r="N795" s="31" t="str">
        <f t="shared" si="37"/>
        <v/>
      </c>
      <c r="O795" s="37" t="str">
        <f t="shared" si="38"/>
        <v/>
      </c>
    </row>
    <row r="796" spans="1:15" ht="15">
      <c r="A796" s="30">
        <v>166</v>
      </c>
      <c r="B796" s="31" t="s">
        <v>548</v>
      </c>
      <c r="C796" s="31" t="s">
        <v>543</v>
      </c>
      <c r="D796" s="31" t="s">
        <v>479</v>
      </c>
      <c r="E796" s="31" t="s">
        <v>475</v>
      </c>
      <c r="F796" s="31" t="str">
        <f>IF(H796=1,INDEX('Match Results'!$G$6:$G$185,MATCH(A796,'Match Results'!$A$6:$A$185,0)),INDEX('Match Results'!$H$6:$H$185,MATCH(A796,'Match Results'!$A$6:$A$185,0)))</f>
        <v>A3</v>
      </c>
      <c r="G796" s="31" t="str">
        <f>IF(H796=1,INDEX('Match Results'!$H$6:$H$185,MATCH(A796,'Match Results'!$A$6:$A$185,0)),INDEX('Match Results'!$G$6:$G$185,MATCH(A796,'Match Results'!$A$6:$A$185,0)))</f>
        <v>B4</v>
      </c>
      <c r="H796" s="31">
        <v>1</v>
      </c>
      <c r="I796" s="31">
        <v>1</v>
      </c>
      <c r="J796" s="32"/>
      <c r="K796" s="31" t="str">
        <f>IF(J796="","",IFERROR(INDEX('Team Rosters'!$C$6:$C$205,MATCH(J796,'Team Rosters'!$B$6:$B$205,0)),"CODE NOT FOUND"))</f>
        <v/>
      </c>
      <c r="L796" s="31" t="str">
        <f t="shared" si="36"/>
        <v/>
      </c>
      <c r="M796" s="31" t="str">
        <f>IF(OR(J796="",C796&lt;&gt;"League",L796&lt;&gt;"VALID"),"",COUNTIFS($J$6:J796,J796,$G$6:G796,G796,$C$6:C796,"League"))</f>
        <v/>
      </c>
      <c r="N796" s="31" t="str">
        <f t="shared" si="37"/>
        <v/>
      </c>
      <c r="O796" s="37" t="str">
        <f t="shared" si="38"/>
        <v/>
      </c>
    </row>
    <row r="797" spans="1:15" ht="15">
      <c r="A797" s="30">
        <v>166</v>
      </c>
      <c r="B797" s="31" t="s">
        <v>548</v>
      </c>
      <c r="C797" s="31" t="s">
        <v>543</v>
      </c>
      <c r="D797" s="31" t="s">
        <v>479</v>
      </c>
      <c r="E797" s="31" t="s">
        <v>475</v>
      </c>
      <c r="F797" s="31" t="str">
        <f>IF(H797=1,INDEX('Match Results'!$G$6:$G$185,MATCH(A797,'Match Results'!$A$6:$A$185,0)),INDEX('Match Results'!$H$6:$H$185,MATCH(A797,'Match Results'!$A$6:$A$185,0)))</f>
        <v>A3</v>
      </c>
      <c r="G797" s="31" t="str">
        <f>IF(H797=1,INDEX('Match Results'!$H$6:$H$185,MATCH(A797,'Match Results'!$A$6:$A$185,0)),INDEX('Match Results'!$G$6:$G$185,MATCH(A797,'Match Results'!$A$6:$A$185,0)))</f>
        <v>B4</v>
      </c>
      <c r="H797" s="31">
        <v>1</v>
      </c>
      <c r="I797" s="31">
        <v>2</v>
      </c>
      <c r="J797" s="32"/>
      <c r="K797" s="31" t="str">
        <f>IF(J797="","",IFERROR(INDEX('Team Rosters'!$C$6:$C$205,MATCH(J797,'Team Rosters'!$B$6:$B$205,0)),"CODE NOT FOUND"))</f>
        <v/>
      </c>
      <c r="L797" s="31" t="str">
        <f t="shared" si="36"/>
        <v/>
      </c>
      <c r="M797" s="31" t="str">
        <f>IF(OR(J797="",C797&lt;&gt;"League",L797&lt;&gt;"VALID"),"",COUNTIFS($J$6:J797,J797,$G$6:G797,G797,$C$6:C797,"League"))</f>
        <v/>
      </c>
      <c r="N797" s="31" t="str">
        <f t="shared" si="37"/>
        <v/>
      </c>
      <c r="O797" s="37" t="str">
        <f t="shared" si="38"/>
        <v/>
      </c>
    </row>
    <row r="798" spans="1:15" ht="15">
      <c r="A798" s="30">
        <v>166</v>
      </c>
      <c r="B798" s="31" t="s">
        <v>548</v>
      </c>
      <c r="C798" s="31" t="s">
        <v>543</v>
      </c>
      <c r="D798" s="31" t="s">
        <v>479</v>
      </c>
      <c r="E798" s="31" t="s">
        <v>475</v>
      </c>
      <c r="F798" s="31" t="str">
        <f>IF(H798=1,INDEX('Match Results'!$G$6:$G$185,MATCH(A798,'Match Results'!$A$6:$A$185,0)),INDEX('Match Results'!$H$6:$H$185,MATCH(A798,'Match Results'!$A$6:$A$185,0)))</f>
        <v>B4</v>
      </c>
      <c r="G798" s="31" t="str">
        <f>IF(H798=1,INDEX('Match Results'!$H$6:$H$185,MATCH(A798,'Match Results'!$A$6:$A$185,0)),INDEX('Match Results'!$G$6:$G$185,MATCH(A798,'Match Results'!$A$6:$A$185,0)))</f>
        <v>A3</v>
      </c>
      <c r="H798" s="31">
        <v>2</v>
      </c>
      <c r="I798" s="31">
        <v>3</v>
      </c>
      <c r="J798" s="32"/>
      <c r="K798" s="31" t="str">
        <f>IF(J798="","",IFERROR(INDEX('Team Rosters'!$C$6:$C$205,MATCH(J798,'Team Rosters'!$B$6:$B$205,0)),"CODE NOT FOUND"))</f>
        <v/>
      </c>
      <c r="L798" s="31" t="str">
        <f t="shared" si="36"/>
        <v/>
      </c>
      <c r="M798" s="31" t="str">
        <f>IF(OR(J798="",C798&lt;&gt;"League",L798&lt;&gt;"VALID"),"",COUNTIFS($J$6:J798,J798,$G$6:G798,G798,$C$6:C798,"League"))</f>
        <v/>
      </c>
      <c r="N798" s="31" t="str">
        <f t="shared" si="37"/>
        <v/>
      </c>
      <c r="O798" s="37" t="str">
        <f t="shared" si="38"/>
        <v/>
      </c>
    </row>
    <row r="799" spans="1:15" ht="15">
      <c r="A799" s="30">
        <v>166</v>
      </c>
      <c r="B799" s="31" t="s">
        <v>548</v>
      </c>
      <c r="C799" s="31" t="s">
        <v>543</v>
      </c>
      <c r="D799" s="31" t="s">
        <v>479</v>
      </c>
      <c r="E799" s="31" t="s">
        <v>475</v>
      </c>
      <c r="F799" s="31" t="str">
        <f>IF(H799=1,INDEX('Match Results'!$G$6:$G$185,MATCH(A799,'Match Results'!$A$6:$A$185,0)),INDEX('Match Results'!$H$6:$H$185,MATCH(A799,'Match Results'!$A$6:$A$185,0)))</f>
        <v>B4</v>
      </c>
      <c r="G799" s="31" t="str">
        <f>IF(H799=1,INDEX('Match Results'!$H$6:$H$185,MATCH(A799,'Match Results'!$A$6:$A$185,0)),INDEX('Match Results'!$G$6:$G$185,MATCH(A799,'Match Results'!$A$6:$A$185,0)))</f>
        <v>A3</v>
      </c>
      <c r="H799" s="31">
        <v>2</v>
      </c>
      <c r="I799" s="31">
        <v>4</v>
      </c>
      <c r="J799" s="32"/>
      <c r="K799" s="31" t="str">
        <f>IF(J799="","",IFERROR(INDEX('Team Rosters'!$C$6:$C$205,MATCH(J799,'Team Rosters'!$B$6:$B$205,0)),"CODE NOT FOUND"))</f>
        <v/>
      </c>
      <c r="L799" s="31" t="str">
        <f t="shared" si="36"/>
        <v/>
      </c>
      <c r="M799" s="31" t="str">
        <f>IF(OR(J799="",C799&lt;&gt;"League",L799&lt;&gt;"VALID"),"",COUNTIFS($J$6:J799,J799,$G$6:G799,G799,$C$6:C799,"League"))</f>
        <v/>
      </c>
      <c r="N799" s="31" t="str">
        <f t="shared" si="37"/>
        <v/>
      </c>
      <c r="O799" s="37" t="str">
        <f t="shared" si="38"/>
        <v/>
      </c>
    </row>
    <row r="800" spans="1:15" ht="15">
      <c r="A800" s="30">
        <v>167</v>
      </c>
      <c r="B800" s="31" t="s">
        <v>548</v>
      </c>
      <c r="C800" s="31" t="s">
        <v>543</v>
      </c>
      <c r="D800" s="31" t="s">
        <v>479</v>
      </c>
      <c r="E800" s="31" t="s">
        <v>477</v>
      </c>
      <c r="F800" s="31" t="str">
        <f>IF(H800=1,INDEX('Match Results'!$G$6:$G$185,MATCH(A800,'Match Results'!$A$6:$A$185,0)),INDEX('Match Results'!$H$6:$H$185,MATCH(A800,'Match Results'!$A$6:$A$185,0)))</f>
        <v>A3</v>
      </c>
      <c r="G800" s="31" t="str">
        <f>IF(H800=1,INDEX('Match Results'!$H$6:$H$185,MATCH(A800,'Match Results'!$A$6:$A$185,0)),INDEX('Match Results'!$G$6:$G$185,MATCH(A800,'Match Results'!$A$6:$A$185,0)))</f>
        <v>B4</v>
      </c>
      <c r="H800" s="31">
        <v>1</v>
      </c>
      <c r="I800" s="31">
        <v>1</v>
      </c>
      <c r="J800" s="32"/>
      <c r="K800" s="31" t="str">
        <f>IF(J800="","",IFERROR(INDEX('Team Rosters'!$C$6:$C$205,MATCH(J800,'Team Rosters'!$B$6:$B$205,0)),"CODE NOT FOUND"))</f>
        <v/>
      </c>
      <c r="L800" s="31" t="str">
        <f t="shared" si="36"/>
        <v/>
      </c>
      <c r="M800" s="31" t="str">
        <f>IF(OR(J800="",C800&lt;&gt;"League",L800&lt;&gt;"VALID"),"",COUNTIFS($J$6:J800,J800,$G$6:G800,G800,$C$6:C800,"League"))</f>
        <v/>
      </c>
      <c r="N800" s="31" t="str">
        <f t="shared" si="37"/>
        <v/>
      </c>
      <c r="O800" s="37" t="str">
        <f t="shared" si="38"/>
        <v/>
      </c>
    </row>
    <row r="801" spans="1:15" ht="15">
      <c r="A801" s="30">
        <v>167</v>
      </c>
      <c r="B801" s="31" t="s">
        <v>548</v>
      </c>
      <c r="C801" s="31" t="s">
        <v>543</v>
      </c>
      <c r="D801" s="31" t="s">
        <v>479</v>
      </c>
      <c r="E801" s="31" t="s">
        <v>477</v>
      </c>
      <c r="F801" s="31" t="str">
        <f>IF(H801=1,INDEX('Match Results'!$G$6:$G$185,MATCH(A801,'Match Results'!$A$6:$A$185,0)),INDEX('Match Results'!$H$6:$H$185,MATCH(A801,'Match Results'!$A$6:$A$185,0)))</f>
        <v>A3</v>
      </c>
      <c r="G801" s="31" t="str">
        <f>IF(H801=1,INDEX('Match Results'!$H$6:$H$185,MATCH(A801,'Match Results'!$A$6:$A$185,0)),INDEX('Match Results'!$G$6:$G$185,MATCH(A801,'Match Results'!$A$6:$A$185,0)))</f>
        <v>B4</v>
      </c>
      <c r="H801" s="31">
        <v>1</v>
      </c>
      <c r="I801" s="31">
        <v>2</v>
      </c>
      <c r="J801" s="32"/>
      <c r="K801" s="31" t="str">
        <f>IF(J801="","",IFERROR(INDEX('Team Rosters'!$C$6:$C$205,MATCH(J801,'Team Rosters'!$B$6:$B$205,0)),"CODE NOT FOUND"))</f>
        <v/>
      </c>
      <c r="L801" s="31" t="str">
        <f t="shared" si="36"/>
        <v/>
      </c>
      <c r="M801" s="31" t="str">
        <f>IF(OR(J801="",C801&lt;&gt;"League",L801&lt;&gt;"VALID"),"",COUNTIFS($J$6:J801,J801,$G$6:G801,G801,$C$6:C801,"League"))</f>
        <v/>
      </c>
      <c r="N801" s="31" t="str">
        <f t="shared" si="37"/>
        <v/>
      </c>
      <c r="O801" s="37" t="str">
        <f t="shared" si="38"/>
        <v/>
      </c>
    </row>
    <row r="802" spans="1:15" ht="15">
      <c r="A802" s="30">
        <v>167</v>
      </c>
      <c r="B802" s="31" t="s">
        <v>548</v>
      </c>
      <c r="C802" s="31" t="s">
        <v>543</v>
      </c>
      <c r="D802" s="31" t="s">
        <v>479</v>
      </c>
      <c r="E802" s="31" t="s">
        <v>477</v>
      </c>
      <c r="F802" s="31" t="str">
        <f>IF(H802=1,INDEX('Match Results'!$G$6:$G$185,MATCH(A802,'Match Results'!$A$6:$A$185,0)),INDEX('Match Results'!$H$6:$H$185,MATCH(A802,'Match Results'!$A$6:$A$185,0)))</f>
        <v>B4</v>
      </c>
      <c r="G802" s="31" t="str">
        <f>IF(H802=1,INDEX('Match Results'!$H$6:$H$185,MATCH(A802,'Match Results'!$A$6:$A$185,0)),INDEX('Match Results'!$G$6:$G$185,MATCH(A802,'Match Results'!$A$6:$A$185,0)))</f>
        <v>A3</v>
      </c>
      <c r="H802" s="31">
        <v>2</v>
      </c>
      <c r="I802" s="31">
        <v>3</v>
      </c>
      <c r="J802" s="32"/>
      <c r="K802" s="31" t="str">
        <f>IF(J802="","",IFERROR(INDEX('Team Rosters'!$C$6:$C$205,MATCH(J802,'Team Rosters'!$B$6:$B$205,0)),"CODE NOT FOUND"))</f>
        <v/>
      </c>
      <c r="L802" s="31" t="str">
        <f t="shared" si="36"/>
        <v/>
      </c>
      <c r="M802" s="31" t="str">
        <f>IF(OR(J802="",C802&lt;&gt;"League",L802&lt;&gt;"VALID"),"",COUNTIFS($J$6:J802,J802,$G$6:G802,G802,$C$6:C802,"League"))</f>
        <v/>
      </c>
      <c r="N802" s="31" t="str">
        <f t="shared" si="37"/>
        <v/>
      </c>
      <c r="O802" s="37" t="str">
        <f t="shared" si="38"/>
        <v/>
      </c>
    </row>
    <row r="803" spans="1:15" ht="15">
      <c r="A803" s="30">
        <v>167</v>
      </c>
      <c r="B803" s="31" t="s">
        <v>548</v>
      </c>
      <c r="C803" s="31" t="s">
        <v>543</v>
      </c>
      <c r="D803" s="31" t="s">
        <v>479</v>
      </c>
      <c r="E803" s="31" t="s">
        <v>477</v>
      </c>
      <c r="F803" s="31" t="str">
        <f>IF(H803=1,INDEX('Match Results'!$G$6:$G$185,MATCH(A803,'Match Results'!$A$6:$A$185,0)),INDEX('Match Results'!$H$6:$H$185,MATCH(A803,'Match Results'!$A$6:$A$185,0)))</f>
        <v>B4</v>
      </c>
      <c r="G803" s="31" t="str">
        <f>IF(H803=1,INDEX('Match Results'!$H$6:$H$185,MATCH(A803,'Match Results'!$A$6:$A$185,0)),INDEX('Match Results'!$G$6:$G$185,MATCH(A803,'Match Results'!$A$6:$A$185,0)))</f>
        <v>A3</v>
      </c>
      <c r="H803" s="31">
        <v>2</v>
      </c>
      <c r="I803" s="31">
        <v>4</v>
      </c>
      <c r="J803" s="32"/>
      <c r="K803" s="31" t="str">
        <f>IF(J803="","",IFERROR(INDEX('Team Rosters'!$C$6:$C$205,MATCH(J803,'Team Rosters'!$B$6:$B$205,0)),"CODE NOT FOUND"))</f>
        <v/>
      </c>
      <c r="L803" s="31" t="str">
        <f t="shared" si="36"/>
        <v/>
      </c>
      <c r="M803" s="31" t="str">
        <f>IF(OR(J803="",C803&lt;&gt;"League",L803&lt;&gt;"VALID"),"",COUNTIFS($J$6:J803,J803,$G$6:G803,G803,$C$6:C803,"League"))</f>
        <v/>
      </c>
      <c r="N803" s="31" t="str">
        <f t="shared" si="37"/>
        <v/>
      </c>
      <c r="O803" s="37" t="str">
        <f t="shared" si="38"/>
        <v/>
      </c>
    </row>
    <row r="804" spans="1:15" ht="15">
      <c r="A804" s="30">
        <v>168</v>
      </c>
      <c r="B804" s="31" t="s">
        <v>548</v>
      </c>
      <c r="C804" s="31" t="s">
        <v>539</v>
      </c>
      <c r="D804" s="31" t="s">
        <v>490</v>
      </c>
      <c r="E804" s="31" t="s">
        <v>491</v>
      </c>
      <c r="F804" s="31" t="str">
        <f>IF(H804=1,INDEX('Match Results'!$G$6:$G$185,MATCH(A804,'Match Results'!$A$6:$A$185,0)),INDEX('Match Results'!$H$6:$H$185,MATCH(A804,'Match Results'!$A$6:$A$185,0)))</f>
        <v>A4</v>
      </c>
      <c r="G804" s="31" t="str">
        <f>IF(H804=1,INDEX('Match Results'!$H$6:$H$185,MATCH(A804,'Match Results'!$A$6:$A$185,0)),INDEX('Match Results'!$G$6:$G$185,MATCH(A804,'Match Results'!$A$6:$A$185,0)))</f>
        <v>B3</v>
      </c>
      <c r="H804" s="31">
        <v>1</v>
      </c>
      <c r="I804" s="31">
        <v>1</v>
      </c>
      <c r="J804" s="32"/>
      <c r="K804" s="31" t="str">
        <f>IF(J804="","",IFERROR(INDEX('Team Rosters'!$C$6:$C$205,MATCH(J804,'Team Rosters'!$B$6:$B$205,0)),"CODE NOT FOUND"))</f>
        <v/>
      </c>
      <c r="L804" s="31" t="str">
        <f t="shared" si="36"/>
        <v/>
      </c>
      <c r="M804" s="31" t="str">
        <f>IF(OR(J804="",C804&lt;&gt;"League",L804&lt;&gt;"VALID"),"",COUNTIFS($J$6:J804,J804,$G$6:G804,G804,$C$6:C804,"League"))</f>
        <v/>
      </c>
      <c r="N804" s="31" t="str">
        <f t="shared" si="37"/>
        <v/>
      </c>
      <c r="O804" s="37" t="str">
        <f t="shared" si="38"/>
        <v/>
      </c>
    </row>
    <row r="805" spans="1:15" ht="15">
      <c r="A805" s="30">
        <v>168</v>
      </c>
      <c r="B805" s="31" t="s">
        <v>548</v>
      </c>
      <c r="C805" s="31" t="s">
        <v>539</v>
      </c>
      <c r="D805" s="31" t="s">
        <v>490</v>
      </c>
      <c r="E805" s="31" t="s">
        <v>491</v>
      </c>
      <c r="F805" s="31" t="str">
        <f>IF(H805=1,INDEX('Match Results'!$G$6:$G$185,MATCH(A805,'Match Results'!$A$6:$A$185,0)),INDEX('Match Results'!$H$6:$H$185,MATCH(A805,'Match Results'!$A$6:$A$185,0)))</f>
        <v>A4</v>
      </c>
      <c r="G805" s="31" t="str">
        <f>IF(H805=1,INDEX('Match Results'!$H$6:$H$185,MATCH(A805,'Match Results'!$A$6:$A$185,0)),INDEX('Match Results'!$G$6:$G$185,MATCH(A805,'Match Results'!$A$6:$A$185,0)))</f>
        <v>B3</v>
      </c>
      <c r="H805" s="31">
        <v>1</v>
      </c>
      <c r="I805" s="31">
        <v>2</v>
      </c>
      <c r="J805" s="32"/>
      <c r="K805" s="31" t="str">
        <f>IF(J805="","",IFERROR(INDEX('Team Rosters'!$C$6:$C$205,MATCH(J805,'Team Rosters'!$B$6:$B$205,0)),"CODE NOT FOUND"))</f>
        <v/>
      </c>
      <c r="L805" s="31" t="str">
        <f t="shared" si="36"/>
        <v/>
      </c>
      <c r="M805" s="31" t="str">
        <f>IF(OR(J805="",C805&lt;&gt;"League",L805&lt;&gt;"VALID"),"",COUNTIFS($J$6:J805,J805,$G$6:G805,G805,$C$6:C805,"League"))</f>
        <v/>
      </c>
      <c r="N805" s="31" t="str">
        <f t="shared" si="37"/>
        <v/>
      </c>
      <c r="O805" s="37" t="str">
        <f t="shared" si="38"/>
        <v/>
      </c>
    </row>
    <row r="806" spans="1:15" ht="15">
      <c r="A806" s="30">
        <v>168</v>
      </c>
      <c r="B806" s="31" t="s">
        <v>548</v>
      </c>
      <c r="C806" s="31" t="s">
        <v>539</v>
      </c>
      <c r="D806" s="31" t="s">
        <v>490</v>
      </c>
      <c r="E806" s="31" t="s">
        <v>491</v>
      </c>
      <c r="F806" s="31" t="str">
        <f>IF(H806=1,INDEX('Match Results'!$G$6:$G$185,MATCH(A806,'Match Results'!$A$6:$A$185,0)),INDEX('Match Results'!$H$6:$H$185,MATCH(A806,'Match Results'!$A$6:$A$185,0)))</f>
        <v>A4</v>
      </c>
      <c r="G806" s="31" t="str">
        <f>IF(H806=1,INDEX('Match Results'!$H$6:$H$185,MATCH(A806,'Match Results'!$A$6:$A$185,0)),INDEX('Match Results'!$G$6:$G$185,MATCH(A806,'Match Results'!$A$6:$A$185,0)))</f>
        <v>B3</v>
      </c>
      <c r="H806" s="31">
        <v>1</v>
      </c>
      <c r="I806" s="31">
        <v>3</v>
      </c>
      <c r="J806" s="32"/>
      <c r="K806" s="31" t="str">
        <f>IF(J806="","",IFERROR(INDEX('Team Rosters'!$C$6:$C$205,MATCH(J806,'Team Rosters'!$B$6:$B$205,0)),"CODE NOT FOUND"))</f>
        <v/>
      </c>
      <c r="L806" s="31" t="str">
        <f t="shared" si="36"/>
        <v/>
      </c>
      <c r="M806" s="31" t="str">
        <f>IF(OR(J806="",C806&lt;&gt;"League",L806&lt;&gt;"VALID"),"",COUNTIFS($J$6:J806,J806,$G$6:G806,G806,$C$6:C806,"League"))</f>
        <v/>
      </c>
      <c r="N806" s="31" t="str">
        <f t="shared" si="37"/>
        <v/>
      </c>
      <c r="O806" s="37" t="str">
        <f t="shared" si="38"/>
        <v/>
      </c>
    </row>
    <row r="807" spans="1:15" ht="15">
      <c r="A807" s="30">
        <v>168</v>
      </c>
      <c r="B807" s="31" t="s">
        <v>548</v>
      </c>
      <c r="C807" s="31" t="s">
        <v>539</v>
      </c>
      <c r="D807" s="31" t="s">
        <v>490</v>
      </c>
      <c r="E807" s="31" t="s">
        <v>491</v>
      </c>
      <c r="F807" s="31" t="str">
        <f>IF(H807=1,INDEX('Match Results'!$G$6:$G$185,MATCH(A807,'Match Results'!$A$6:$A$185,0)),INDEX('Match Results'!$H$6:$H$185,MATCH(A807,'Match Results'!$A$6:$A$185,0)))</f>
        <v>A4</v>
      </c>
      <c r="G807" s="31" t="str">
        <f>IF(H807=1,INDEX('Match Results'!$H$6:$H$185,MATCH(A807,'Match Results'!$A$6:$A$185,0)),INDEX('Match Results'!$G$6:$G$185,MATCH(A807,'Match Results'!$A$6:$A$185,0)))</f>
        <v>B3</v>
      </c>
      <c r="H807" s="31">
        <v>1</v>
      </c>
      <c r="I807" s="31">
        <v>4</v>
      </c>
      <c r="J807" s="32"/>
      <c r="K807" s="31" t="str">
        <f>IF(J807="","",IFERROR(INDEX('Team Rosters'!$C$6:$C$205,MATCH(J807,'Team Rosters'!$B$6:$B$205,0)),"CODE NOT FOUND"))</f>
        <v/>
      </c>
      <c r="L807" s="31" t="str">
        <f t="shared" si="36"/>
        <v/>
      </c>
      <c r="M807" s="31" t="str">
        <f>IF(OR(J807="",C807&lt;&gt;"League",L807&lt;&gt;"VALID"),"",COUNTIFS($J$6:J807,J807,$G$6:G807,G807,$C$6:C807,"League"))</f>
        <v/>
      </c>
      <c r="N807" s="31" t="str">
        <f t="shared" si="37"/>
        <v/>
      </c>
      <c r="O807" s="37" t="str">
        <f t="shared" si="38"/>
        <v/>
      </c>
    </row>
    <row r="808" spans="1:15" ht="15">
      <c r="A808" s="30">
        <v>168</v>
      </c>
      <c r="B808" s="31" t="s">
        <v>548</v>
      </c>
      <c r="C808" s="31" t="s">
        <v>539</v>
      </c>
      <c r="D808" s="31" t="s">
        <v>490</v>
      </c>
      <c r="E808" s="31" t="s">
        <v>491</v>
      </c>
      <c r="F808" s="31" t="str">
        <f>IF(H808=1,INDEX('Match Results'!$G$6:$G$185,MATCH(A808,'Match Results'!$A$6:$A$185,0)),INDEX('Match Results'!$H$6:$H$185,MATCH(A808,'Match Results'!$A$6:$A$185,0)))</f>
        <v>A4</v>
      </c>
      <c r="G808" s="31" t="str">
        <f>IF(H808=1,INDEX('Match Results'!$H$6:$H$185,MATCH(A808,'Match Results'!$A$6:$A$185,0)),INDEX('Match Results'!$G$6:$G$185,MATCH(A808,'Match Results'!$A$6:$A$185,0)))</f>
        <v>B3</v>
      </c>
      <c r="H808" s="31">
        <v>1</v>
      </c>
      <c r="I808" s="31">
        <v>5</v>
      </c>
      <c r="J808" s="32"/>
      <c r="K808" s="31" t="str">
        <f>IF(J808="","",IFERROR(INDEX('Team Rosters'!$C$6:$C$205,MATCH(J808,'Team Rosters'!$B$6:$B$205,0)),"CODE NOT FOUND"))</f>
        <v/>
      </c>
      <c r="L808" s="31" t="str">
        <f t="shared" si="36"/>
        <v/>
      </c>
      <c r="M808" s="31" t="str">
        <f>IF(OR(J808="",C808&lt;&gt;"League",L808&lt;&gt;"VALID"),"",COUNTIFS($J$6:J808,J808,$G$6:G808,G808,$C$6:C808,"League"))</f>
        <v/>
      </c>
      <c r="N808" s="31" t="str">
        <f t="shared" si="37"/>
        <v/>
      </c>
      <c r="O808" s="37" t="str">
        <f t="shared" si="38"/>
        <v/>
      </c>
    </row>
    <row r="809" spans="1:15" ht="15">
      <c r="A809" s="30">
        <v>168</v>
      </c>
      <c r="B809" s="31" t="s">
        <v>548</v>
      </c>
      <c r="C809" s="31" t="s">
        <v>539</v>
      </c>
      <c r="D809" s="31" t="s">
        <v>490</v>
      </c>
      <c r="E809" s="31" t="s">
        <v>491</v>
      </c>
      <c r="F809" s="31" t="str">
        <f>IF(H809=1,INDEX('Match Results'!$G$6:$G$185,MATCH(A809,'Match Results'!$A$6:$A$185,0)),INDEX('Match Results'!$H$6:$H$185,MATCH(A809,'Match Results'!$A$6:$A$185,0)))</f>
        <v>A4</v>
      </c>
      <c r="G809" s="31" t="str">
        <f>IF(H809=1,INDEX('Match Results'!$H$6:$H$185,MATCH(A809,'Match Results'!$A$6:$A$185,0)),INDEX('Match Results'!$G$6:$G$185,MATCH(A809,'Match Results'!$A$6:$A$185,0)))</f>
        <v>B3</v>
      </c>
      <c r="H809" s="31">
        <v>1</v>
      </c>
      <c r="I809" s="31">
        <v>6</v>
      </c>
      <c r="J809" s="32"/>
      <c r="K809" s="31" t="str">
        <f>IF(J809="","",IFERROR(INDEX('Team Rosters'!$C$6:$C$205,MATCH(J809,'Team Rosters'!$B$6:$B$205,0)),"CODE NOT FOUND"))</f>
        <v/>
      </c>
      <c r="L809" s="31" t="str">
        <f t="shared" si="36"/>
        <v/>
      </c>
      <c r="M809" s="31" t="str">
        <f>IF(OR(J809="",C809&lt;&gt;"League",L809&lt;&gt;"VALID"),"",COUNTIFS($J$6:J809,J809,$G$6:G809,G809,$C$6:C809,"League"))</f>
        <v/>
      </c>
      <c r="N809" s="31" t="str">
        <f t="shared" si="37"/>
        <v/>
      </c>
      <c r="O809" s="37" t="str">
        <f t="shared" si="38"/>
        <v/>
      </c>
    </row>
    <row r="810" spans="1:15" ht="15">
      <c r="A810" s="30">
        <v>168</v>
      </c>
      <c r="B810" s="31" t="s">
        <v>548</v>
      </c>
      <c r="C810" s="31" t="s">
        <v>539</v>
      </c>
      <c r="D810" s="31" t="s">
        <v>490</v>
      </c>
      <c r="E810" s="31" t="s">
        <v>491</v>
      </c>
      <c r="F810" s="31" t="str">
        <f>IF(H810=1,INDEX('Match Results'!$G$6:$G$185,MATCH(A810,'Match Results'!$A$6:$A$185,0)),INDEX('Match Results'!$H$6:$H$185,MATCH(A810,'Match Results'!$A$6:$A$185,0)))</f>
        <v>A4</v>
      </c>
      <c r="G810" s="31" t="str">
        <f>IF(H810=1,INDEX('Match Results'!$H$6:$H$185,MATCH(A810,'Match Results'!$A$6:$A$185,0)),INDEX('Match Results'!$G$6:$G$185,MATCH(A810,'Match Results'!$A$6:$A$185,0)))</f>
        <v>B3</v>
      </c>
      <c r="H810" s="31">
        <v>1</v>
      </c>
      <c r="I810" s="31">
        <v>7</v>
      </c>
      <c r="J810" s="32"/>
      <c r="K810" s="31" t="str">
        <f>IF(J810="","",IFERROR(INDEX('Team Rosters'!$C$6:$C$205,MATCH(J810,'Team Rosters'!$B$6:$B$205,0)),"CODE NOT FOUND"))</f>
        <v/>
      </c>
      <c r="L810" s="31" t="str">
        <f t="shared" si="36"/>
        <v/>
      </c>
      <c r="M810" s="31" t="str">
        <f>IF(OR(J810="",C810&lt;&gt;"League",L810&lt;&gt;"VALID"),"",COUNTIFS($J$6:J810,J810,$G$6:G810,G810,$C$6:C810,"League"))</f>
        <v/>
      </c>
      <c r="N810" s="31" t="str">
        <f t="shared" si="37"/>
        <v/>
      </c>
      <c r="O810" s="37" t="str">
        <f t="shared" si="38"/>
        <v/>
      </c>
    </row>
    <row r="811" spans="1:15" ht="15">
      <c r="A811" s="30">
        <v>168</v>
      </c>
      <c r="B811" s="31" t="s">
        <v>548</v>
      </c>
      <c r="C811" s="31" t="s">
        <v>539</v>
      </c>
      <c r="D811" s="31" t="s">
        <v>490</v>
      </c>
      <c r="E811" s="31" t="s">
        <v>491</v>
      </c>
      <c r="F811" s="31" t="str">
        <f>IF(H811=1,INDEX('Match Results'!$G$6:$G$185,MATCH(A811,'Match Results'!$A$6:$A$185,0)),INDEX('Match Results'!$H$6:$H$185,MATCH(A811,'Match Results'!$A$6:$A$185,0)))</f>
        <v>B3</v>
      </c>
      <c r="G811" s="31" t="str">
        <f>IF(H811=1,INDEX('Match Results'!$H$6:$H$185,MATCH(A811,'Match Results'!$A$6:$A$185,0)),INDEX('Match Results'!$G$6:$G$185,MATCH(A811,'Match Results'!$A$6:$A$185,0)))</f>
        <v>A4</v>
      </c>
      <c r="H811" s="31">
        <v>2</v>
      </c>
      <c r="I811" s="31">
        <v>8</v>
      </c>
      <c r="J811" s="32"/>
      <c r="K811" s="31" t="str">
        <f>IF(J811="","",IFERROR(INDEX('Team Rosters'!$C$6:$C$205,MATCH(J811,'Team Rosters'!$B$6:$B$205,0)),"CODE NOT FOUND"))</f>
        <v/>
      </c>
      <c r="L811" s="31" t="str">
        <f t="shared" si="36"/>
        <v/>
      </c>
      <c r="M811" s="31" t="str">
        <f>IF(OR(J811="",C811&lt;&gt;"League",L811&lt;&gt;"VALID"),"",COUNTIFS($J$6:J811,J811,$G$6:G811,G811,$C$6:C811,"League"))</f>
        <v/>
      </c>
      <c r="N811" s="31" t="str">
        <f t="shared" si="37"/>
        <v/>
      </c>
      <c r="O811" s="37" t="str">
        <f t="shared" si="38"/>
        <v/>
      </c>
    </row>
    <row r="812" spans="1:15" ht="15">
      <c r="A812" s="30">
        <v>168</v>
      </c>
      <c r="B812" s="31" t="s">
        <v>548</v>
      </c>
      <c r="C812" s="31" t="s">
        <v>539</v>
      </c>
      <c r="D812" s="31" t="s">
        <v>490</v>
      </c>
      <c r="E812" s="31" t="s">
        <v>491</v>
      </c>
      <c r="F812" s="31" t="str">
        <f>IF(H812=1,INDEX('Match Results'!$G$6:$G$185,MATCH(A812,'Match Results'!$A$6:$A$185,0)),INDEX('Match Results'!$H$6:$H$185,MATCH(A812,'Match Results'!$A$6:$A$185,0)))</f>
        <v>B3</v>
      </c>
      <c r="G812" s="31" t="str">
        <f>IF(H812=1,INDEX('Match Results'!$H$6:$H$185,MATCH(A812,'Match Results'!$A$6:$A$185,0)),INDEX('Match Results'!$G$6:$G$185,MATCH(A812,'Match Results'!$A$6:$A$185,0)))</f>
        <v>A4</v>
      </c>
      <c r="H812" s="31">
        <v>2</v>
      </c>
      <c r="I812" s="31">
        <v>9</v>
      </c>
      <c r="J812" s="32"/>
      <c r="K812" s="31" t="str">
        <f>IF(J812="","",IFERROR(INDEX('Team Rosters'!$C$6:$C$205,MATCH(J812,'Team Rosters'!$B$6:$B$205,0)),"CODE NOT FOUND"))</f>
        <v/>
      </c>
      <c r="L812" s="31" t="str">
        <f t="shared" si="36"/>
        <v/>
      </c>
      <c r="M812" s="31" t="str">
        <f>IF(OR(J812="",C812&lt;&gt;"League",L812&lt;&gt;"VALID"),"",COUNTIFS($J$6:J812,J812,$G$6:G812,G812,$C$6:C812,"League"))</f>
        <v/>
      </c>
      <c r="N812" s="31" t="str">
        <f t="shared" si="37"/>
        <v/>
      </c>
      <c r="O812" s="37" t="str">
        <f t="shared" si="38"/>
        <v/>
      </c>
    </row>
    <row r="813" spans="1:15" ht="15">
      <c r="A813" s="30">
        <v>168</v>
      </c>
      <c r="B813" s="31" t="s">
        <v>548</v>
      </c>
      <c r="C813" s="31" t="s">
        <v>539</v>
      </c>
      <c r="D813" s="31" t="s">
        <v>490</v>
      </c>
      <c r="E813" s="31" t="s">
        <v>491</v>
      </c>
      <c r="F813" s="31" t="str">
        <f>IF(H813=1,INDEX('Match Results'!$G$6:$G$185,MATCH(A813,'Match Results'!$A$6:$A$185,0)),INDEX('Match Results'!$H$6:$H$185,MATCH(A813,'Match Results'!$A$6:$A$185,0)))</f>
        <v>B3</v>
      </c>
      <c r="G813" s="31" t="str">
        <f>IF(H813=1,INDEX('Match Results'!$H$6:$H$185,MATCH(A813,'Match Results'!$A$6:$A$185,0)),INDEX('Match Results'!$G$6:$G$185,MATCH(A813,'Match Results'!$A$6:$A$185,0)))</f>
        <v>A4</v>
      </c>
      <c r="H813" s="31">
        <v>2</v>
      </c>
      <c r="I813" s="31">
        <v>10</v>
      </c>
      <c r="J813" s="32"/>
      <c r="K813" s="31" t="str">
        <f>IF(J813="","",IFERROR(INDEX('Team Rosters'!$C$6:$C$205,MATCH(J813,'Team Rosters'!$B$6:$B$205,0)),"CODE NOT FOUND"))</f>
        <v/>
      </c>
      <c r="L813" s="31" t="str">
        <f t="shared" si="36"/>
        <v/>
      </c>
      <c r="M813" s="31" t="str">
        <f>IF(OR(J813="",C813&lt;&gt;"League",L813&lt;&gt;"VALID"),"",COUNTIFS($J$6:J813,J813,$G$6:G813,G813,$C$6:C813,"League"))</f>
        <v/>
      </c>
      <c r="N813" s="31" t="str">
        <f t="shared" si="37"/>
        <v/>
      </c>
      <c r="O813" s="37" t="str">
        <f t="shared" si="38"/>
        <v/>
      </c>
    </row>
    <row r="814" spans="1:15" ht="15">
      <c r="A814" s="30">
        <v>168</v>
      </c>
      <c r="B814" s="31" t="s">
        <v>548</v>
      </c>
      <c r="C814" s="31" t="s">
        <v>539</v>
      </c>
      <c r="D814" s="31" t="s">
        <v>490</v>
      </c>
      <c r="E814" s="31" t="s">
        <v>491</v>
      </c>
      <c r="F814" s="31" t="str">
        <f>IF(H814=1,INDEX('Match Results'!$G$6:$G$185,MATCH(A814,'Match Results'!$A$6:$A$185,0)),INDEX('Match Results'!$H$6:$H$185,MATCH(A814,'Match Results'!$A$6:$A$185,0)))</f>
        <v>B3</v>
      </c>
      <c r="G814" s="31" t="str">
        <f>IF(H814=1,INDEX('Match Results'!$H$6:$H$185,MATCH(A814,'Match Results'!$A$6:$A$185,0)),INDEX('Match Results'!$G$6:$G$185,MATCH(A814,'Match Results'!$A$6:$A$185,0)))</f>
        <v>A4</v>
      </c>
      <c r="H814" s="31">
        <v>2</v>
      </c>
      <c r="I814" s="31">
        <v>11</v>
      </c>
      <c r="J814" s="32"/>
      <c r="K814" s="31" t="str">
        <f>IF(J814="","",IFERROR(INDEX('Team Rosters'!$C$6:$C$205,MATCH(J814,'Team Rosters'!$B$6:$B$205,0)),"CODE NOT FOUND"))</f>
        <v/>
      </c>
      <c r="L814" s="31" t="str">
        <f t="shared" si="36"/>
        <v/>
      </c>
      <c r="M814" s="31" t="str">
        <f>IF(OR(J814="",C814&lt;&gt;"League",L814&lt;&gt;"VALID"),"",COUNTIFS($J$6:J814,J814,$G$6:G814,G814,$C$6:C814,"League"))</f>
        <v/>
      </c>
      <c r="N814" s="31" t="str">
        <f t="shared" si="37"/>
        <v/>
      </c>
      <c r="O814" s="37" t="str">
        <f t="shared" si="38"/>
        <v/>
      </c>
    </row>
    <row r="815" spans="1:15" ht="15">
      <c r="A815" s="30">
        <v>168</v>
      </c>
      <c r="B815" s="31" t="s">
        <v>548</v>
      </c>
      <c r="C815" s="31" t="s">
        <v>539</v>
      </c>
      <c r="D815" s="31" t="s">
        <v>490</v>
      </c>
      <c r="E815" s="31" t="s">
        <v>491</v>
      </c>
      <c r="F815" s="31" t="str">
        <f>IF(H815=1,INDEX('Match Results'!$G$6:$G$185,MATCH(A815,'Match Results'!$A$6:$A$185,0)),INDEX('Match Results'!$H$6:$H$185,MATCH(A815,'Match Results'!$A$6:$A$185,0)))</f>
        <v>B3</v>
      </c>
      <c r="G815" s="31" t="str">
        <f>IF(H815=1,INDEX('Match Results'!$H$6:$H$185,MATCH(A815,'Match Results'!$A$6:$A$185,0)),INDEX('Match Results'!$G$6:$G$185,MATCH(A815,'Match Results'!$A$6:$A$185,0)))</f>
        <v>A4</v>
      </c>
      <c r="H815" s="31">
        <v>2</v>
      </c>
      <c r="I815" s="31">
        <v>12</v>
      </c>
      <c r="J815" s="32"/>
      <c r="K815" s="31" t="str">
        <f>IF(J815="","",IFERROR(INDEX('Team Rosters'!$C$6:$C$205,MATCH(J815,'Team Rosters'!$B$6:$B$205,0)),"CODE NOT FOUND"))</f>
        <v/>
      </c>
      <c r="L815" s="31" t="str">
        <f t="shared" si="36"/>
        <v/>
      </c>
      <c r="M815" s="31" t="str">
        <f>IF(OR(J815="",C815&lt;&gt;"League",L815&lt;&gt;"VALID"),"",COUNTIFS($J$6:J815,J815,$G$6:G815,G815,$C$6:C815,"League"))</f>
        <v/>
      </c>
      <c r="N815" s="31" t="str">
        <f t="shared" si="37"/>
        <v/>
      </c>
      <c r="O815" s="37" t="str">
        <f t="shared" si="38"/>
        <v/>
      </c>
    </row>
    <row r="816" spans="1:15" ht="15">
      <c r="A816" s="30">
        <v>168</v>
      </c>
      <c r="B816" s="31" t="s">
        <v>548</v>
      </c>
      <c r="C816" s="31" t="s">
        <v>539</v>
      </c>
      <c r="D816" s="31" t="s">
        <v>490</v>
      </c>
      <c r="E816" s="31" t="s">
        <v>491</v>
      </c>
      <c r="F816" s="31" t="str">
        <f>IF(H816=1,INDEX('Match Results'!$G$6:$G$185,MATCH(A816,'Match Results'!$A$6:$A$185,0)),INDEX('Match Results'!$H$6:$H$185,MATCH(A816,'Match Results'!$A$6:$A$185,0)))</f>
        <v>B3</v>
      </c>
      <c r="G816" s="31" t="str">
        <f>IF(H816=1,INDEX('Match Results'!$H$6:$H$185,MATCH(A816,'Match Results'!$A$6:$A$185,0)),INDEX('Match Results'!$G$6:$G$185,MATCH(A816,'Match Results'!$A$6:$A$185,0)))</f>
        <v>A4</v>
      </c>
      <c r="H816" s="31">
        <v>2</v>
      </c>
      <c r="I816" s="31">
        <v>13</v>
      </c>
      <c r="J816" s="32"/>
      <c r="K816" s="31" t="str">
        <f>IF(J816="","",IFERROR(INDEX('Team Rosters'!$C$6:$C$205,MATCH(J816,'Team Rosters'!$B$6:$B$205,0)),"CODE NOT FOUND"))</f>
        <v/>
      </c>
      <c r="L816" s="31" t="str">
        <f t="shared" si="36"/>
        <v/>
      </c>
      <c r="M816" s="31" t="str">
        <f>IF(OR(J816="",C816&lt;&gt;"League",L816&lt;&gt;"VALID"),"",COUNTIFS($J$6:J816,J816,$G$6:G816,G816,$C$6:C816,"League"))</f>
        <v/>
      </c>
      <c r="N816" s="31" t="str">
        <f t="shared" si="37"/>
        <v/>
      </c>
      <c r="O816" s="37" t="str">
        <f t="shared" si="38"/>
        <v/>
      </c>
    </row>
    <row r="817" spans="1:15" ht="15">
      <c r="A817" s="30">
        <v>168</v>
      </c>
      <c r="B817" s="31" t="s">
        <v>548</v>
      </c>
      <c r="C817" s="31" t="s">
        <v>539</v>
      </c>
      <c r="D817" s="31" t="s">
        <v>490</v>
      </c>
      <c r="E817" s="31" t="s">
        <v>491</v>
      </c>
      <c r="F817" s="31" t="str">
        <f>IF(H817=1,INDEX('Match Results'!$G$6:$G$185,MATCH(A817,'Match Results'!$A$6:$A$185,0)),INDEX('Match Results'!$H$6:$H$185,MATCH(A817,'Match Results'!$A$6:$A$185,0)))</f>
        <v>B3</v>
      </c>
      <c r="G817" s="31" t="str">
        <f>IF(H817=1,INDEX('Match Results'!$H$6:$H$185,MATCH(A817,'Match Results'!$A$6:$A$185,0)),INDEX('Match Results'!$G$6:$G$185,MATCH(A817,'Match Results'!$A$6:$A$185,0)))</f>
        <v>A4</v>
      </c>
      <c r="H817" s="31">
        <v>2</v>
      </c>
      <c r="I817" s="31">
        <v>14</v>
      </c>
      <c r="J817" s="32"/>
      <c r="K817" s="31" t="str">
        <f>IF(J817="","",IFERROR(INDEX('Team Rosters'!$C$6:$C$205,MATCH(J817,'Team Rosters'!$B$6:$B$205,0)),"CODE NOT FOUND"))</f>
        <v/>
      </c>
      <c r="L817" s="31" t="str">
        <f t="shared" si="36"/>
        <v/>
      </c>
      <c r="M817" s="31" t="str">
        <f>IF(OR(J817="",C817&lt;&gt;"League",L817&lt;&gt;"VALID"),"",COUNTIFS($J$6:J817,J817,$G$6:G817,G817,$C$6:C817,"League"))</f>
        <v/>
      </c>
      <c r="N817" s="31" t="str">
        <f t="shared" si="37"/>
        <v/>
      </c>
      <c r="O817" s="37" t="str">
        <f t="shared" si="38"/>
        <v/>
      </c>
    </row>
    <row r="818" spans="1:15" ht="15">
      <c r="A818" s="30">
        <v>169</v>
      </c>
      <c r="B818" s="31" t="s">
        <v>549</v>
      </c>
      <c r="C818" s="31" t="s">
        <v>550</v>
      </c>
      <c r="D818" s="31" t="s">
        <v>486</v>
      </c>
      <c r="E818" s="31" t="s">
        <v>472</v>
      </c>
      <c r="F818" s="31" t="str">
        <f>IF(H818=1,INDEX('Match Results'!$G$6:$G$185,MATCH(A818,'Match Results'!$A$6:$A$185,0)),INDEX('Match Results'!$H$6:$H$185,MATCH(A818,'Match Results'!$A$6:$A$185,0)))</f>
        <v>A1</v>
      </c>
      <c r="G818" s="31" t="str">
        <f>IF(H818=1,INDEX('Match Results'!$H$6:$H$185,MATCH(A818,'Match Results'!$A$6:$A$185,0)),INDEX('Match Results'!$G$6:$G$185,MATCH(A818,'Match Results'!$A$6:$A$185,0)))</f>
        <v>B4</v>
      </c>
      <c r="H818" s="31">
        <v>1</v>
      </c>
      <c r="I818" s="31">
        <v>1</v>
      </c>
      <c r="J818" s="32"/>
      <c r="K818" s="31" t="str">
        <f>IF(J818="","",IFERROR(INDEX('Team Rosters'!$C$6:$C$205,MATCH(J818,'Team Rosters'!$B$6:$B$205,0)),"CODE NOT FOUND"))</f>
        <v/>
      </c>
      <c r="L818" s="31" t="str">
        <f t="shared" si="36"/>
        <v/>
      </c>
      <c r="M818" s="31" t="str">
        <f>IF(OR(J818="",C818&lt;&gt;"League",L818&lt;&gt;"VALID"),"",COUNTIFS($J$6:J818,J818,$G$6:G818,G818,$C$6:C818,"League"))</f>
        <v/>
      </c>
      <c r="N818" s="31" t="str">
        <f t="shared" si="37"/>
        <v/>
      </c>
      <c r="O818" s="37" t="str">
        <f t="shared" si="38"/>
        <v/>
      </c>
    </row>
    <row r="819" spans="1:15" ht="15">
      <c r="A819" s="30">
        <v>169</v>
      </c>
      <c r="B819" s="31" t="s">
        <v>549</v>
      </c>
      <c r="C819" s="31" t="s">
        <v>550</v>
      </c>
      <c r="D819" s="31" t="s">
        <v>486</v>
      </c>
      <c r="E819" s="31" t="s">
        <v>472</v>
      </c>
      <c r="F819" s="31" t="str">
        <f>IF(H819=1,INDEX('Match Results'!$G$6:$G$185,MATCH(A819,'Match Results'!$A$6:$A$185,0)),INDEX('Match Results'!$H$6:$H$185,MATCH(A819,'Match Results'!$A$6:$A$185,0)))</f>
        <v>A1</v>
      </c>
      <c r="G819" s="31" t="str">
        <f>IF(H819=1,INDEX('Match Results'!$H$6:$H$185,MATCH(A819,'Match Results'!$A$6:$A$185,0)),INDEX('Match Results'!$G$6:$G$185,MATCH(A819,'Match Results'!$A$6:$A$185,0)))</f>
        <v>B4</v>
      </c>
      <c r="H819" s="31">
        <v>1</v>
      </c>
      <c r="I819" s="31">
        <v>2</v>
      </c>
      <c r="J819" s="32"/>
      <c r="K819" s="31" t="str">
        <f>IF(J819="","",IFERROR(INDEX('Team Rosters'!$C$6:$C$205,MATCH(J819,'Team Rosters'!$B$6:$B$205,0)),"CODE NOT FOUND"))</f>
        <v/>
      </c>
      <c r="L819" s="31" t="str">
        <f t="shared" si="36"/>
        <v/>
      </c>
      <c r="M819" s="31" t="str">
        <f>IF(OR(J819="",C819&lt;&gt;"League",L819&lt;&gt;"VALID"),"",COUNTIFS($J$6:J819,J819,$G$6:G819,G819,$C$6:C819,"League"))</f>
        <v/>
      </c>
      <c r="N819" s="31" t="str">
        <f t="shared" si="37"/>
        <v/>
      </c>
      <c r="O819" s="37" t="str">
        <f t="shared" si="38"/>
        <v/>
      </c>
    </row>
    <row r="820" spans="1:15" ht="15">
      <c r="A820" s="30">
        <v>169</v>
      </c>
      <c r="B820" s="31" t="s">
        <v>549</v>
      </c>
      <c r="C820" s="31" t="s">
        <v>550</v>
      </c>
      <c r="D820" s="31" t="s">
        <v>486</v>
      </c>
      <c r="E820" s="31" t="s">
        <v>472</v>
      </c>
      <c r="F820" s="31" t="str">
        <f>IF(H820=1,INDEX('Match Results'!$G$6:$G$185,MATCH(A820,'Match Results'!$A$6:$A$185,0)),INDEX('Match Results'!$H$6:$H$185,MATCH(A820,'Match Results'!$A$6:$A$185,0)))</f>
        <v>B4</v>
      </c>
      <c r="G820" s="31" t="str">
        <f>IF(H820=1,INDEX('Match Results'!$H$6:$H$185,MATCH(A820,'Match Results'!$A$6:$A$185,0)),INDEX('Match Results'!$G$6:$G$185,MATCH(A820,'Match Results'!$A$6:$A$185,0)))</f>
        <v>A1</v>
      </c>
      <c r="H820" s="31">
        <v>2</v>
      </c>
      <c r="I820" s="31">
        <v>3</v>
      </c>
      <c r="J820" s="32"/>
      <c r="K820" s="31" t="str">
        <f>IF(J820="","",IFERROR(INDEX('Team Rosters'!$C$6:$C$205,MATCH(J820,'Team Rosters'!$B$6:$B$205,0)),"CODE NOT FOUND"))</f>
        <v/>
      </c>
      <c r="L820" s="31" t="str">
        <f t="shared" si="36"/>
        <v/>
      </c>
      <c r="M820" s="31" t="str">
        <f>IF(OR(J820="",C820&lt;&gt;"League",L820&lt;&gt;"VALID"),"",COUNTIFS($J$6:J820,J820,$G$6:G820,G820,$C$6:C820,"League"))</f>
        <v/>
      </c>
      <c r="N820" s="31" t="str">
        <f t="shared" si="37"/>
        <v/>
      </c>
      <c r="O820" s="37" t="str">
        <f t="shared" si="38"/>
        <v/>
      </c>
    </row>
    <row r="821" spans="1:15" ht="15">
      <c r="A821" s="30">
        <v>169</v>
      </c>
      <c r="B821" s="31" t="s">
        <v>549</v>
      </c>
      <c r="C821" s="31" t="s">
        <v>550</v>
      </c>
      <c r="D821" s="31" t="s">
        <v>486</v>
      </c>
      <c r="E821" s="31" t="s">
        <v>472</v>
      </c>
      <c r="F821" s="31" t="str">
        <f>IF(H821=1,INDEX('Match Results'!$G$6:$G$185,MATCH(A821,'Match Results'!$A$6:$A$185,0)),INDEX('Match Results'!$H$6:$H$185,MATCH(A821,'Match Results'!$A$6:$A$185,0)))</f>
        <v>B4</v>
      </c>
      <c r="G821" s="31" t="str">
        <f>IF(H821=1,INDEX('Match Results'!$H$6:$H$185,MATCH(A821,'Match Results'!$A$6:$A$185,0)),INDEX('Match Results'!$G$6:$G$185,MATCH(A821,'Match Results'!$A$6:$A$185,0)))</f>
        <v>A1</v>
      </c>
      <c r="H821" s="31">
        <v>2</v>
      </c>
      <c r="I821" s="31">
        <v>4</v>
      </c>
      <c r="J821" s="32"/>
      <c r="K821" s="31" t="str">
        <f>IF(J821="","",IFERROR(INDEX('Team Rosters'!$C$6:$C$205,MATCH(J821,'Team Rosters'!$B$6:$B$205,0)),"CODE NOT FOUND"))</f>
        <v/>
      </c>
      <c r="L821" s="31" t="str">
        <f t="shared" si="36"/>
        <v/>
      </c>
      <c r="M821" s="31" t="str">
        <f>IF(OR(J821="",C821&lt;&gt;"League",L821&lt;&gt;"VALID"),"",COUNTIFS($J$6:J821,J821,$G$6:G821,G821,$C$6:C821,"League"))</f>
        <v/>
      </c>
      <c r="N821" s="31" t="str">
        <f t="shared" si="37"/>
        <v/>
      </c>
      <c r="O821" s="37" t="str">
        <f t="shared" si="38"/>
        <v/>
      </c>
    </row>
    <row r="822" spans="1:15" ht="15">
      <c r="A822" s="30">
        <v>170</v>
      </c>
      <c r="B822" s="31" t="s">
        <v>549</v>
      </c>
      <c r="C822" s="31" t="s">
        <v>550</v>
      </c>
      <c r="D822" s="31" t="s">
        <v>486</v>
      </c>
      <c r="E822" s="31" t="s">
        <v>475</v>
      </c>
      <c r="F822" s="31" t="str">
        <f>IF(H822=1,INDEX('Match Results'!$G$6:$G$185,MATCH(A822,'Match Results'!$A$6:$A$185,0)),INDEX('Match Results'!$H$6:$H$185,MATCH(A822,'Match Results'!$A$6:$A$185,0)))</f>
        <v>B3</v>
      </c>
      <c r="G822" s="31" t="str">
        <f>IF(H822=1,INDEX('Match Results'!$H$6:$H$185,MATCH(A822,'Match Results'!$A$6:$A$185,0)),INDEX('Match Results'!$G$6:$G$185,MATCH(A822,'Match Results'!$A$6:$A$185,0)))</f>
        <v>B4</v>
      </c>
      <c r="H822" s="31">
        <v>1</v>
      </c>
      <c r="I822" s="31">
        <v>1</v>
      </c>
      <c r="J822" s="32"/>
      <c r="K822" s="31" t="str">
        <f>IF(J822="","",IFERROR(INDEX('Team Rosters'!$C$6:$C$205,MATCH(J822,'Team Rosters'!$B$6:$B$205,0)),"CODE NOT FOUND"))</f>
        <v/>
      </c>
      <c r="L822" s="31" t="str">
        <f t="shared" si="36"/>
        <v/>
      </c>
      <c r="M822" s="31" t="str">
        <f>IF(OR(J822="",C822&lt;&gt;"League",L822&lt;&gt;"VALID"),"",COUNTIFS($J$6:J822,J822,$G$6:G822,G822,$C$6:C822,"League"))</f>
        <v/>
      </c>
      <c r="N822" s="31" t="str">
        <f t="shared" si="37"/>
        <v/>
      </c>
      <c r="O822" s="37" t="str">
        <f t="shared" si="38"/>
        <v/>
      </c>
    </row>
    <row r="823" spans="1:15" ht="15">
      <c r="A823" s="30">
        <v>170</v>
      </c>
      <c r="B823" s="31" t="s">
        <v>549</v>
      </c>
      <c r="C823" s="31" t="s">
        <v>550</v>
      </c>
      <c r="D823" s="31" t="s">
        <v>486</v>
      </c>
      <c r="E823" s="31" t="s">
        <v>475</v>
      </c>
      <c r="F823" s="31" t="str">
        <f>IF(H823=1,INDEX('Match Results'!$G$6:$G$185,MATCH(A823,'Match Results'!$A$6:$A$185,0)),INDEX('Match Results'!$H$6:$H$185,MATCH(A823,'Match Results'!$A$6:$A$185,0)))</f>
        <v>B3</v>
      </c>
      <c r="G823" s="31" t="str">
        <f>IF(H823=1,INDEX('Match Results'!$H$6:$H$185,MATCH(A823,'Match Results'!$A$6:$A$185,0)),INDEX('Match Results'!$G$6:$G$185,MATCH(A823,'Match Results'!$A$6:$A$185,0)))</f>
        <v>B4</v>
      </c>
      <c r="H823" s="31">
        <v>1</v>
      </c>
      <c r="I823" s="31">
        <v>2</v>
      </c>
      <c r="J823" s="32"/>
      <c r="K823" s="31" t="str">
        <f>IF(J823="","",IFERROR(INDEX('Team Rosters'!$C$6:$C$205,MATCH(J823,'Team Rosters'!$B$6:$B$205,0)),"CODE NOT FOUND"))</f>
        <v/>
      </c>
      <c r="L823" s="31" t="str">
        <f t="shared" si="36"/>
        <v/>
      </c>
      <c r="M823" s="31" t="str">
        <f>IF(OR(J823="",C823&lt;&gt;"League",L823&lt;&gt;"VALID"),"",COUNTIFS($J$6:J823,J823,$G$6:G823,G823,$C$6:C823,"League"))</f>
        <v/>
      </c>
      <c r="N823" s="31" t="str">
        <f t="shared" si="37"/>
        <v/>
      </c>
      <c r="O823" s="37" t="str">
        <f t="shared" si="38"/>
        <v/>
      </c>
    </row>
    <row r="824" spans="1:15" ht="15">
      <c r="A824" s="30">
        <v>170</v>
      </c>
      <c r="B824" s="31" t="s">
        <v>549</v>
      </c>
      <c r="C824" s="31" t="s">
        <v>550</v>
      </c>
      <c r="D824" s="31" t="s">
        <v>486</v>
      </c>
      <c r="E824" s="31" t="s">
        <v>475</v>
      </c>
      <c r="F824" s="31" t="str">
        <f>IF(H824=1,INDEX('Match Results'!$G$6:$G$185,MATCH(A824,'Match Results'!$A$6:$A$185,0)),INDEX('Match Results'!$H$6:$H$185,MATCH(A824,'Match Results'!$A$6:$A$185,0)))</f>
        <v>B4</v>
      </c>
      <c r="G824" s="31" t="str">
        <f>IF(H824=1,INDEX('Match Results'!$H$6:$H$185,MATCH(A824,'Match Results'!$A$6:$A$185,0)),INDEX('Match Results'!$G$6:$G$185,MATCH(A824,'Match Results'!$A$6:$A$185,0)))</f>
        <v>B3</v>
      </c>
      <c r="H824" s="31">
        <v>2</v>
      </c>
      <c r="I824" s="31">
        <v>3</v>
      </c>
      <c r="J824" s="32"/>
      <c r="K824" s="31" t="str">
        <f>IF(J824="","",IFERROR(INDEX('Team Rosters'!$C$6:$C$205,MATCH(J824,'Team Rosters'!$B$6:$B$205,0)),"CODE NOT FOUND"))</f>
        <v/>
      </c>
      <c r="L824" s="31" t="str">
        <f t="shared" si="36"/>
        <v/>
      </c>
      <c r="M824" s="31" t="str">
        <f>IF(OR(J824="",C824&lt;&gt;"League",L824&lt;&gt;"VALID"),"",COUNTIFS($J$6:J824,J824,$G$6:G824,G824,$C$6:C824,"League"))</f>
        <v/>
      </c>
      <c r="N824" s="31" t="str">
        <f t="shared" si="37"/>
        <v/>
      </c>
      <c r="O824" s="37" t="str">
        <f t="shared" si="38"/>
        <v/>
      </c>
    </row>
    <row r="825" spans="1:15" ht="15">
      <c r="A825" s="30">
        <v>170</v>
      </c>
      <c r="B825" s="31" t="s">
        <v>549</v>
      </c>
      <c r="C825" s="31" t="s">
        <v>550</v>
      </c>
      <c r="D825" s="31" t="s">
        <v>486</v>
      </c>
      <c r="E825" s="31" t="s">
        <v>475</v>
      </c>
      <c r="F825" s="31" t="str">
        <f>IF(H825=1,INDEX('Match Results'!$G$6:$G$185,MATCH(A825,'Match Results'!$A$6:$A$185,0)),INDEX('Match Results'!$H$6:$H$185,MATCH(A825,'Match Results'!$A$6:$A$185,0)))</f>
        <v>B4</v>
      </c>
      <c r="G825" s="31" t="str">
        <f>IF(H825=1,INDEX('Match Results'!$H$6:$H$185,MATCH(A825,'Match Results'!$A$6:$A$185,0)),INDEX('Match Results'!$G$6:$G$185,MATCH(A825,'Match Results'!$A$6:$A$185,0)))</f>
        <v>B3</v>
      </c>
      <c r="H825" s="31">
        <v>2</v>
      </c>
      <c r="I825" s="31">
        <v>4</v>
      </c>
      <c r="J825" s="32"/>
      <c r="K825" s="31" t="str">
        <f>IF(J825="","",IFERROR(INDEX('Team Rosters'!$C$6:$C$205,MATCH(J825,'Team Rosters'!$B$6:$B$205,0)),"CODE NOT FOUND"))</f>
        <v/>
      </c>
      <c r="L825" s="31" t="str">
        <f t="shared" si="36"/>
        <v/>
      </c>
      <c r="M825" s="31" t="str">
        <f>IF(OR(J825="",C825&lt;&gt;"League",L825&lt;&gt;"VALID"),"",COUNTIFS($J$6:J825,J825,$G$6:G825,G825,$C$6:C825,"League"))</f>
        <v/>
      </c>
      <c r="N825" s="31" t="str">
        <f t="shared" si="37"/>
        <v/>
      </c>
      <c r="O825" s="37" t="str">
        <f t="shared" si="38"/>
        <v/>
      </c>
    </row>
    <row r="826" spans="1:15" ht="15">
      <c r="A826" s="30">
        <v>171</v>
      </c>
      <c r="B826" s="31" t="s">
        <v>549</v>
      </c>
      <c r="C826" s="31" t="s">
        <v>550</v>
      </c>
      <c r="D826" s="31" t="s">
        <v>486</v>
      </c>
      <c r="E826" s="31" t="s">
        <v>477</v>
      </c>
      <c r="F826" s="31" t="str">
        <f>IF(H826=1,INDEX('Match Results'!$G$6:$G$185,MATCH(A826,'Match Results'!$A$6:$A$185,0)),INDEX('Match Results'!$H$6:$H$185,MATCH(A826,'Match Results'!$A$6:$A$185,0)))</f>
        <v>B3</v>
      </c>
      <c r="G826" s="31" t="str">
        <f>IF(H826=1,INDEX('Match Results'!$H$6:$H$185,MATCH(A826,'Match Results'!$A$6:$A$185,0)),INDEX('Match Results'!$G$6:$G$185,MATCH(A826,'Match Results'!$A$6:$A$185,0)))</f>
        <v>B4</v>
      </c>
      <c r="H826" s="31">
        <v>1</v>
      </c>
      <c r="I826" s="31">
        <v>1</v>
      </c>
      <c r="J826" s="32"/>
      <c r="K826" s="31" t="str">
        <f>IF(J826="","",IFERROR(INDEX('Team Rosters'!$C$6:$C$205,MATCH(J826,'Team Rosters'!$B$6:$B$205,0)),"CODE NOT FOUND"))</f>
        <v/>
      </c>
      <c r="L826" s="31" t="str">
        <f t="shared" si="36"/>
        <v/>
      </c>
      <c r="M826" s="31" t="str">
        <f>IF(OR(J826="",C826&lt;&gt;"League",L826&lt;&gt;"VALID"),"",COUNTIFS($J$6:J826,J826,$G$6:G826,G826,$C$6:C826,"League"))</f>
        <v/>
      </c>
      <c r="N826" s="31" t="str">
        <f t="shared" si="37"/>
        <v/>
      </c>
      <c r="O826" s="37" t="str">
        <f t="shared" si="38"/>
        <v/>
      </c>
    </row>
    <row r="827" spans="1:15" ht="15">
      <c r="A827" s="30">
        <v>171</v>
      </c>
      <c r="B827" s="31" t="s">
        <v>549</v>
      </c>
      <c r="C827" s="31" t="s">
        <v>550</v>
      </c>
      <c r="D827" s="31" t="s">
        <v>486</v>
      </c>
      <c r="E827" s="31" t="s">
        <v>477</v>
      </c>
      <c r="F827" s="31" t="str">
        <f>IF(H827=1,INDEX('Match Results'!$G$6:$G$185,MATCH(A827,'Match Results'!$A$6:$A$185,0)),INDEX('Match Results'!$H$6:$H$185,MATCH(A827,'Match Results'!$A$6:$A$185,0)))</f>
        <v>B3</v>
      </c>
      <c r="G827" s="31" t="str">
        <f>IF(H827=1,INDEX('Match Results'!$H$6:$H$185,MATCH(A827,'Match Results'!$A$6:$A$185,0)),INDEX('Match Results'!$G$6:$G$185,MATCH(A827,'Match Results'!$A$6:$A$185,0)))</f>
        <v>B4</v>
      </c>
      <c r="H827" s="31">
        <v>1</v>
      </c>
      <c r="I827" s="31">
        <v>2</v>
      </c>
      <c r="J827" s="32"/>
      <c r="K827" s="31" t="str">
        <f>IF(J827="","",IFERROR(INDEX('Team Rosters'!$C$6:$C$205,MATCH(J827,'Team Rosters'!$B$6:$B$205,0)),"CODE NOT FOUND"))</f>
        <v/>
      </c>
      <c r="L827" s="31" t="str">
        <f t="shared" si="36"/>
        <v/>
      </c>
      <c r="M827" s="31" t="str">
        <f>IF(OR(J827="",C827&lt;&gt;"League",L827&lt;&gt;"VALID"),"",COUNTIFS($J$6:J827,J827,$G$6:G827,G827,$C$6:C827,"League"))</f>
        <v/>
      </c>
      <c r="N827" s="31" t="str">
        <f t="shared" si="37"/>
        <v/>
      </c>
      <c r="O827" s="37" t="str">
        <f t="shared" si="38"/>
        <v/>
      </c>
    </row>
    <row r="828" spans="1:15" ht="15">
      <c r="A828" s="30">
        <v>171</v>
      </c>
      <c r="B828" s="31" t="s">
        <v>549</v>
      </c>
      <c r="C828" s="31" t="s">
        <v>550</v>
      </c>
      <c r="D828" s="31" t="s">
        <v>486</v>
      </c>
      <c r="E828" s="31" t="s">
        <v>477</v>
      </c>
      <c r="F828" s="31" t="str">
        <f>IF(H828=1,INDEX('Match Results'!$G$6:$G$185,MATCH(A828,'Match Results'!$A$6:$A$185,0)),INDEX('Match Results'!$H$6:$H$185,MATCH(A828,'Match Results'!$A$6:$A$185,0)))</f>
        <v>B4</v>
      </c>
      <c r="G828" s="31" t="str">
        <f>IF(H828=1,INDEX('Match Results'!$H$6:$H$185,MATCH(A828,'Match Results'!$A$6:$A$185,0)),INDEX('Match Results'!$G$6:$G$185,MATCH(A828,'Match Results'!$A$6:$A$185,0)))</f>
        <v>B3</v>
      </c>
      <c r="H828" s="31">
        <v>2</v>
      </c>
      <c r="I828" s="31">
        <v>3</v>
      </c>
      <c r="J828" s="32"/>
      <c r="K828" s="31" t="str">
        <f>IF(J828="","",IFERROR(INDEX('Team Rosters'!$C$6:$C$205,MATCH(J828,'Team Rosters'!$B$6:$B$205,0)),"CODE NOT FOUND"))</f>
        <v/>
      </c>
      <c r="L828" s="31" t="str">
        <f t="shared" si="36"/>
        <v/>
      </c>
      <c r="M828" s="31" t="str">
        <f>IF(OR(J828="",C828&lt;&gt;"League",L828&lt;&gt;"VALID"),"",COUNTIFS($J$6:J828,J828,$G$6:G828,G828,$C$6:C828,"League"))</f>
        <v/>
      </c>
      <c r="N828" s="31" t="str">
        <f t="shared" si="37"/>
        <v/>
      </c>
      <c r="O828" s="37" t="str">
        <f t="shared" si="38"/>
        <v/>
      </c>
    </row>
    <row r="829" spans="1:15" ht="15">
      <c r="A829" s="30">
        <v>171</v>
      </c>
      <c r="B829" s="31" t="s">
        <v>549</v>
      </c>
      <c r="C829" s="31" t="s">
        <v>550</v>
      </c>
      <c r="D829" s="31" t="s">
        <v>486</v>
      </c>
      <c r="E829" s="31" t="s">
        <v>477</v>
      </c>
      <c r="F829" s="31" t="str">
        <f>IF(H829=1,INDEX('Match Results'!$G$6:$G$185,MATCH(A829,'Match Results'!$A$6:$A$185,0)),INDEX('Match Results'!$H$6:$H$185,MATCH(A829,'Match Results'!$A$6:$A$185,0)))</f>
        <v>B4</v>
      </c>
      <c r="G829" s="31" t="str">
        <f>IF(H829=1,INDEX('Match Results'!$H$6:$H$185,MATCH(A829,'Match Results'!$A$6:$A$185,0)),INDEX('Match Results'!$G$6:$G$185,MATCH(A829,'Match Results'!$A$6:$A$185,0)))</f>
        <v>B3</v>
      </c>
      <c r="H829" s="31">
        <v>2</v>
      </c>
      <c r="I829" s="31">
        <v>4</v>
      </c>
      <c r="J829" s="32"/>
      <c r="K829" s="31" t="str">
        <f>IF(J829="","",IFERROR(INDEX('Team Rosters'!$C$6:$C$205,MATCH(J829,'Team Rosters'!$B$6:$B$205,0)),"CODE NOT FOUND"))</f>
        <v/>
      </c>
      <c r="L829" s="31" t="str">
        <f t="shared" si="36"/>
        <v/>
      </c>
      <c r="M829" s="31" t="str">
        <f>IF(OR(J829="",C829&lt;&gt;"League",L829&lt;&gt;"VALID"),"",COUNTIFS($J$6:J829,J829,$G$6:G829,G829,$C$6:C829,"League"))</f>
        <v/>
      </c>
      <c r="N829" s="31" t="str">
        <f t="shared" si="37"/>
        <v/>
      </c>
      <c r="O829" s="37" t="str">
        <f t="shared" si="38"/>
        <v/>
      </c>
    </row>
    <row r="830" spans="1:15" ht="15">
      <c r="A830" s="30">
        <v>172</v>
      </c>
      <c r="B830" s="31" t="s">
        <v>552</v>
      </c>
      <c r="C830" s="31" t="s">
        <v>550</v>
      </c>
      <c r="D830" s="31" t="s">
        <v>483</v>
      </c>
      <c r="E830" s="31" t="s">
        <v>472</v>
      </c>
      <c r="F830" s="31" t="str">
        <f>IF(H830=1,INDEX('Match Results'!$G$6:$G$185,MATCH(A830,'Match Results'!$A$6:$A$185,0)),INDEX('Match Results'!$H$6:$H$185,MATCH(A830,'Match Results'!$A$6:$A$185,0)))</f>
        <v>B3</v>
      </c>
      <c r="G830" s="31" t="str">
        <f>IF(H830=1,INDEX('Match Results'!$H$6:$H$185,MATCH(A830,'Match Results'!$A$6:$A$185,0)),INDEX('Match Results'!$G$6:$G$185,MATCH(A830,'Match Results'!$A$6:$A$185,0)))</f>
        <v>B4</v>
      </c>
      <c r="H830" s="31">
        <v>1</v>
      </c>
      <c r="I830" s="31">
        <v>1</v>
      </c>
      <c r="J830" s="32"/>
      <c r="K830" s="31" t="str">
        <f>IF(J830="","",IFERROR(INDEX('Team Rosters'!$C$6:$C$205,MATCH(J830,'Team Rosters'!$B$6:$B$205,0)),"CODE NOT FOUND"))</f>
        <v/>
      </c>
      <c r="L830" s="31" t="str">
        <f t="shared" si="36"/>
        <v/>
      </c>
      <c r="M830" s="31" t="str">
        <f>IF(OR(J830="",C830&lt;&gt;"League",L830&lt;&gt;"VALID"),"",COUNTIFS($J$6:J830,J830,$G$6:G830,G830,$C$6:C830,"League"))</f>
        <v/>
      </c>
      <c r="N830" s="31" t="str">
        <f t="shared" si="37"/>
        <v/>
      </c>
      <c r="O830" s="37" t="str">
        <f t="shared" si="38"/>
        <v/>
      </c>
    </row>
    <row r="831" spans="1:15" ht="15">
      <c r="A831" s="30">
        <v>172</v>
      </c>
      <c r="B831" s="31" t="s">
        <v>552</v>
      </c>
      <c r="C831" s="31" t="s">
        <v>550</v>
      </c>
      <c r="D831" s="31" t="s">
        <v>483</v>
      </c>
      <c r="E831" s="31" t="s">
        <v>472</v>
      </c>
      <c r="F831" s="31" t="str">
        <f>IF(H831=1,INDEX('Match Results'!$G$6:$G$185,MATCH(A831,'Match Results'!$A$6:$A$185,0)),INDEX('Match Results'!$H$6:$H$185,MATCH(A831,'Match Results'!$A$6:$A$185,0)))</f>
        <v>B3</v>
      </c>
      <c r="G831" s="31" t="str">
        <f>IF(H831=1,INDEX('Match Results'!$H$6:$H$185,MATCH(A831,'Match Results'!$A$6:$A$185,0)),INDEX('Match Results'!$G$6:$G$185,MATCH(A831,'Match Results'!$A$6:$A$185,0)))</f>
        <v>B4</v>
      </c>
      <c r="H831" s="31">
        <v>1</v>
      </c>
      <c r="I831" s="31">
        <v>2</v>
      </c>
      <c r="J831" s="32"/>
      <c r="K831" s="31" t="str">
        <f>IF(J831="","",IFERROR(INDEX('Team Rosters'!$C$6:$C$205,MATCH(J831,'Team Rosters'!$B$6:$B$205,0)),"CODE NOT FOUND"))</f>
        <v/>
      </c>
      <c r="L831" s="31" t="str">
        <f t="shared" si="36"/>
        <v/>
      </c>
      <c r="M831" s="31" t="str">
        <f>IF(OR(J831="",C831&lt;&gt;"League",L831&lt;&gt;"VALID"),"",COUNTIFS($J$6:J831,J831,$G$6:G831,G831,$C$6:C831,"League"))</f>
        <v/>
      </c>
      <c r="N831" s="31" t="str">
        <f t="shared" si="37"/>
        <v/>
      </c>
      <c r="O831" s="37" t="str">
        <f t="shared" si="38"/>
        <v/>
      </c>
    </row>
    <row r="832" spans="1:15" ht="15">
      <c r="A832" s="30">
        <v>172</v>
      </c>
      <c r="B832" s="31" t="s">
        <v>552</v>
      </c>
      <c r="C832" s="31" t="s">
        <v>550</v>
      </c>
      <c r="D832" s="31" t="s">
        <v>483</v>
      </c>
      <c r="E832" s="31" t="s">
        <v>472</v>
      </c>
      <c r="F832" s="31" t="str">
        <f>IF(H832=1,INDEX('Match Results'!$G$6:$G$185,MATCH(A832,'Match Results'!$A$6:$A$185,0)),INDEX('Match Results'!$H$6:$H$185,MATCH(A832,'Match Results'!$A$6:$A$185,0)))</f>
        <v>B4</v>
      </c>
      <c r="G832" s="31" t="str">
        <f>IF(H832=1,INDEX('Match Results'!$H$6:$H$185,MATCH(A832,'Match Results'!$A$6:$A$185,0)),INDEX('Match Results'!$G$6:$G$185,MATCH(A832,'Match Results'!$A$6:$A$185,0)))</f>
        <v>B3</v>
      </c>
      <c r="H832" s="31">
        <v>2</v>
      </c>
      <c r="I832" s="31">
        <v>3</v>
      </c>
      <c r="J832" s="32"/>
      <c r="K832" s="31" t="str">
        <f>IF(J832="","",IFERROR(INDEX('Team Rosters'!$C$6:$C$205,MATCH(J832,'Team Rosters'!$B$6:$B$205,0)),"CODE NOT FOUND"))</f>
        <v/>
      </c>
      <c r="L832" s="31" t="str">
        <f t="shared" si="36"/>
        <v/>
      </c>
      <c r="M832" s="31" t="str">
        <f>IF(OR(J832="",C832&lt;&gt;"League",L832&lt;&gt;"VALID"),"",COUNTIFS($J$6:J832,J832,$G$6:G832,G832,$C$6:C832,"League"))</f>
        <v/>
      </c>
      <c r="N832" s="31" t="str">
        <f t="shared" si="37"/>
        <v/>
      </c>
      <c r="O832" s="37" t="str">
        <f t="shared" si="38"/>
        <v/>
      </c>
    </row>
    <row r="833" spans="1:15" ht="15">
      <c r="A833" s="30">
        <v>172</v>
      </c>
      <c r="B833" s="31" t="s">
        <v>552</v>
      </c>
      <c r="C833" s="31" t="s">
        <v>550</v>
      </c>
      <c r="D833" s="31" t="s">
        <v>483</v>
      </c>
      <c r="E833" s="31" t="s">
        <v>472</v>
      </c>
      <c r="F833" s="31" t="str">
        <f>IF(H833=1,INDEX('Match Results'!$G$6:$G$185,MATCH(A833,'Match Results'!$A$6:$A$185,0)),INDEX('Match Results'!$H$6:$H$185,MATCH(A833,'Match Results'!$A$6:$A$185,0)))</f>
        <v>B4</v>
      </c>
      <c r="G833" s="31" t="str">
        <f>IF(H833=1,INDEX('Match Results'!$H$6:$H$185,MATCH(A833,'Match Results'!$A$6:$A$185,0)),INDEX('Match Results'!$G$6:$G$185,MATCH(A833,'Match Results'!$A$6:$A$185,0)))</f>
        <v>B3</v>
      </c>
      <c r="H833" s="31">
        <v>2</v>
      </c>
      <c r="I833" s="31">
        <v>4</v>
      </c>
      <c r="J833" s="32"/>
      <c r="K833" s="31" t="str">
        <f>IF(J833="","",IFERROR(INDEX('Team Rosters'!$C$6:$C$205,MATCH(J833,'Team Rosters'!$B$6:$B$205,0)),"CODE NOT FOUND"))</f>
        <v/>
      </c>
      <c r="L833" s="31" t="str">
        <f t="shared" si="36"/>
        <v/>
      </c>
      <c r="M833" s="31" t="str">
        <f>IF(OR(J833="",C833&lt;&gt;"League",L833&lt;&gt;"VALID"),"",COUNTIFS($J$6:J833,J833,$G$6:G833,G833,$C$6:C833,"League"))</f>
        <v/>
      </c>
      <c r="N833" s="31" t="str">
        <f t="shared" si="37"/>
        <v/>
      </c>
      <c r="O833" s="37" t="str">
        <f t="shared" si="38"/>
        <v/>
      </c>
    </row>
    <row r="834" spans="1:15" ht="15">
      <c r="A834" s="30">
        <v>173</v>
      </c>
      <c r="B834" s="31" t="s">
        <v>552</v>
      </c>
      <c r="C834" s="31" t="s">
        <v>550</v>
      </c>
      <c r="D834" s="31" t="s">
        <v>483</v>
      </c>
      <c r="E834" s="31" t="s">
        <v>477</v>
      </c>
      <c r="F834" s="31" t="str">
        <f>IF(H834=1,INDEX('Match Results'!$G$6:$G$185,MATCH(A834,'Match Results'!$A$6:$A$185,0)),INDEX('Match Results'!$H$6:$H$185,MATCH(A834,'Match Results'!$A$6:$A$185,0)))</f>
        <v>B3</v>
      </c>
      <c r="G834" s="31" t="str">
        <f>IF(H834=1,INDEX('Match Results'!$H$6:$H$185,MATCH(A834,'Match Results'!$A$6:$A$185,0)),INDEX('Match Results'!$G$6:$G$185,MATCH(A834,'Match Results'!$A$6:$A$185,0)))</f>
        <v>B4</v>
      </c>
      <c r="H834" s="31">
        <v>1</v>
      </c>
      <c r="I834" s="31">
        <v>1</v>
      </c>
      <c r="J834" s="32"/>
      <c r="K834" s="31" t="str">
        <f>IF(J834="","",IFERROR(INDEX('Team Rosters'!$C$6:$C$205,MATCH(J834,'Team Rosters'!$B$6:$B$205,0)),"CODE NOT FOUND"))</f>
        <v/>
      </c>
      <c r="L834" s="31" t="str">
        <f t="shared" si="36"/>
        <v/>
      </c>
      <c r="M834" s="31" t="str">
        <f>IF(OR(J834="",C834&lt;&gt;"League",L834&lt;&gt;"VALID"),"",COUNTIFS($J$6:J834,J834,$G$6:G834,G834,$C$6:C834,"League"))</f>
        <v/>
      </c>
      <c r="N834" s="31" t="str">
        <f t="shared" si="37"/>
        <v/>
      </c>
      <c r="O834" s="37" t="str">
        <f t="shared" si="38"/>
        <v/>
      </c>
    </row>
    <row r="835" spans="1:15" ht="15">
      <c r="A835" s="30">
        <v>173</v>
      </c>
      <c r="B835" s="31" t="s">
        <v>552</v>
      </c>
      <c r="C835" s="31" t="s">
        <v>550</v>
      </c>
      <c r="D835" s="31" t="s">
        <v>483</v>
      </c>
      <c r="E835" s="31" t="s">
        <v>477</v>
      </c>
      <c r="F835" s="31" t="str">
        <f>IF(H835=1,INDEX('Match Results'!$G$6:$G$185,MATCH(A835,'Match Results'!$A$6:$A$185,0)),INDEX('Match Results'!$H$6:$H$185,MATCH(A835,'Match Results'!$A$6:$A$185,0)))</f>
        <v>B3</v>
      </c>
      <c r="G835" s="31" t="str">
        <f>IF(H835=1,INDEX('Match Results'!$H$6:$H$185,MATCH(A835,'Match Results'!$A$6:$A$185,0)),INDEX('Match Results'!$G$6:$G$185,MATCH(A835,'Match Results'!$A$6:$A$185,0)))</f>
        <v>B4</v>
      </c>
      <c r="H835" s="31">
        <v>1</v>
      </c>
      <c r="I835" s="31">
        <v>2</v>
      </c>
      <c r="J835" s="32"/>
      <c r="K835" s="31" t="str">
        <f>IF(J835="","",IFERROR(INDEX('Team Rosters'!$C$6:$C$205,MATCH(J835,'Team Rosters'!$B$6:$B$205,0)),"CODE NOT FOUND"))</f>
        <v/>
      </c>
      <c r="L835" s="31" t="str">
        <f t="shared" si="36"/>
        <v/>
      </c>
      <c r="M835" s="31" t="str">
        <f>IF(OR(J835="",C835&lt;&gt;"League",L835&lt;&gt;"VALID"),"",COUNTIFS($J$6:J835,J835,$G$6:G835,G835,$C$6:C835,"League"))</f>
        <v/>
      </c>
      <c r="N835" s="31" t="str">
        <f t="shared" si="37"/>
        <v/>
      </c>
      <c r="O835" s="37" t="str">
        <f t="shared" si="38"/>
        <v/>
      </c>
    </row>
    <row r="836" spans="1:15" ht="15">
      <c r="A836" s="30">
        <v>173</v>
      </c>
      <c r="B836" s="31" t="s">
        <v>552</v>
      </c>
      <c r="C836" s="31" t="s">
        <v>550</v>
      </c>
      <c r="D836" s="31" t="s">
        <v>483</v>
      </c>
      <c r="E836" s="31" t="s">
        <v>477</v>
      </c>
      <c r="F836" s="31" t="str">
        <f>IF(H836=1,INDEX('Match Results'!$G$6:$G$185,MATCH(A836,'Match Results'!$A$6:$A$185,0)),INDEX('Match Results'!$H$6:$H$185,MATCH(A836,'Match Results'!$A$6:$A$185,0)))</f>
        <v>B4</v>
      </c>
      <c r="G836" s="31" t="str">
        <f>IF(H836=1,INDEX('Match Results'!$H$6:$H$185,MATCH(A836,'Match Results'!$A$6:$A$185,0)),INDEX('Match Results'!$G$6:$G$185,MATCH(A836,'Match Results'!$A$6:$A$185,0)))</f>
        <v>B3</v>
      </c>
      <c r="H836" s="31">
        <v>2</v>
      </c>
      <c r="I836" s="31">
        <v>3</v>
      </c>
      <c r="J836" s="32"/>
      <c r="K836" s="31" t="str">
        <f>IF(J836="","",IFERROR(INDEX('Team Rosters'!$C$6:$C$205,MATCH(J836,'Team Rosters'!$B$6:$B$205,0)),"CODE NOT FOUND"))</f>
        <v/>
      </c>
      <c r="L836" s="31" t="str">
        <f t="shared" si="36"/>
        <v/>
      </c>
      <c r="M836" s="31" t="str">
        <f>IF(OR(J836="",C836&lt;&gt;"League",L836&lt;&gt;"VALID"),"",COUNTIFS($J$6:J836,J836,$G$6:G836,G836,$C$6:C836,"League"))</f>
        <v/>
      </c>
      <c r="N836" s="31" t="str">
        <f t="shared" si="37"/>
        <v/>
      </c>
      <c r="O836" s="37" t="str">
        <f t="shared" si="38"/>
        <v/>
      </c>
    </row>
    <row r="837" spans="1:15" ht="15">
      <c r="A837" s="30">
        <v>173</v>
      </c>
      <c r="B837" s="31" t="s">
        <v>552</v>
      </c>
      <c r="C837" s="31" t="s">
        <v>550</v>
      </c>
      <c r="D837" s="31" t="s">
        <v>483</v>
      </c>
      <c r="E837" s="31" t="s">
        <v>477</v>
      </c>
      <c r="F837" s="31" t="str">
        <f>IF(H837=1,INDEX('Match Results'!$G$6:$G$185,MATCH(A837,'Match Results'!$A$6:$A$185,0)),INDEX('Match Results'!$H$6:$H$185,MATCH(A837,'Match Results'!$A$6:$A$185,0)))</f>
        <v>B4</v>
      </c>
      <c r="G837" s="31" t="str">
        <f>IF(H837=1,INDEX('Match Results'!$H$6:$H$185,MATCH(A837,'Match Results'!$A$6:$A$185,0)),INDEX('Match Results'!$G$6:$G$185,MATCH(A837,'Match Results'!$A$6:$A$185,0)))</f>
        <v>B3</v>
      </c>
      <c r="H837" s="31">
        <v>2</v>
      </c>
      <c r="I837" s="31">
        <v>4</v>
      </c>
      <c r="J837" s="32"/>
      <c r="K837" s="31" t="str">
        <f>IF(J837="","",IFERROR(INDEX('Team Rosters'!$C$6:$C$205,MATCH(J837,'Team Rosters'!$B$6:$B$205,0)),"CODE NOT FOUND"))</f>
        <v/>
      </c>
      <c r="L837" s="31" t="str">
        <f t="shared" si="36"/>
        <v/>
      </c>
      <c r="M837" s="31" t="str">
        <f>IF(OR(J837="",C837&lt;&gt;"League",L837&lt;&gt;"VALID"),"",COUNTIFS($J$6:J837,J837,$G$6:G837,G837,$C$6:C837,"League"))</f>
        <v/>
      </c>
      <c r="N837" s="31" t="str">
        <f t="shared" si="37"/>
        <v/>
      </c>
      <c r="O837" s="37" t="str">
        <f t="shared" si="38"/>
        <v/>
      </c>
    </row>
    <row r="838" spans="1:15" ht="15">
      <c r="A838" s="30">
        <v>175</v>
      </c>
      <c r="B838" s="31" t="s">
        <v>553</v>
      </c>
      <c r="C838" s="31" t="s">
        <v>550</v>
      </c>
      <c r="D838" s="31" t="s">
        <v>471</v>
      </c>
      <c r="E838" s="31" t="s">
        <v>472</v>
      </c>
      <c r="F838" s="31" t="str">
        <f>IF(H838=1,INDEX('Match Results'!$G$6:$G$185,MATCH(A838,'Match Results'!$A$6:$A$185,0)),INDEX('Match Results'!$H$6:$H$185,MATCH(A838,'Match Results'!$A$6:$A$185,0)))</f>
        <v>B3</v>
      </c>
      <c r="G838" s="31" t="str">
        <f>IF(H838=1,INDEX('Match Results'!$H$6:$H$185,MATCH(A838,'Match Results'!$A$6:$A$185,0)),INDEX('Match Results'!$G$6:$G$185,MATCH(A838,'Match Results'!$A$6:$A$185,0)))</f>
        <v>B4</v>
      </c>
      <c r="H838" s="31">
        <v>1</v>
      </c>
      <c r="I838" s="31">
        <v>1</v>
      </c>
      <c r="J838" s="32"/>
      <c r="K838" s="31" t="str">
        <f>IF(J838="","",IFERROR(INDEX('Team Rosters'!$C$6:$C$205,MATCH(J838,'Team Rosters'!$B$6:$B$205,0)),"CODE NOT FOUND"))</f>
        <v/>
      </c>
      <c r="L838" s="31" t="str">
        <f t="shared" ref="L838:L875" si="39">IF(J838="","",IF(AND(K838&lt;&gt;"",K838&lt;&gt;"CODE NOT FOUND",LEFT(J838,2)=F838),"VALID","CHECK ROSTER"))</f>
        <v/>
      </c>
      <c r="M838" s="31" t="str">
        <f>IF(OR(J838="",C838&lt;&gt;"League",L838&lt;&gt;"VALID"),"",COUNTIFS($J$6:J838,J838,$G$6:G838,G838,$C$6:C838,"League"))</f>
        <v/>
      </c>
      <c r="N838" s="31" t="str">
        <f t="shared" ref="N838:N875" si="40">IF(J838="","",IF(L838&lt;&gt;"VALID","CHECK ROSTER",IF(C838&lt;&gt;"League","NOT APPLICABLE",IF(M838&lt;=2,"OK","VIOLATION"))))</f>
        <v/>
      </c>
      <c r="O838" s="37" t="str">
        <f t="shared" ref="O838:O875" si="41">IF(N838="VIOLATION",K838&amp;" has played "&amp;M838&amp;" league matches against "&amp;G838&amp;"; limit is 2.","")</f>
        <v/>
      </c>
    </row>
    <row r="839" spans="1:15" ht="15">
      <c r="A839" s="30">
        <v>175</v>
      </c>
      <c r="B839" s="31" t="s">
        <v>553</v>
      </c>
      <c r="C839" s="31" t="s">
        <v>550</v>
      </c>
      <c r="D839" s="31" t="s">
        <v>471</v>
      </c>
      <c r="E839" s="31" t="s">
        <v>472</v>
      </c>
      <c r="F839" s="31" t="str">
        <f>IF(H839=1,INDEX('Match Results'!$G$6:$G$185,MATCH(A839,'Match Results'!$A$6:$A$185,0)),INDEX('Match Results'!$H$6:$H$185,MATCH(A839,'Match Results'!$A$6:$A$185,0)))</f>
        <v>B3</v>
      </c>
      <c r="G839" s="31" t="str">
        <f>IF(H839=1,INDEX('Match Results'!$H$6:$H$185,MATCH(A839,'Match Results'!$A$6:$A$185,0)),INDEX('Match Results'!$G$6:$G$185,MATCH(A839,'Match Results'!$A$6:$A$185,0)))</f>
        <v>B4</v>
      </c>
      <c r="H839" s="31">
        <v>1</v>
      </c>
      <c r="I839" s="31">
        <v>2</v>
      </c>
      <c r="J839" s="32"/>
      <c r="K839" s="31" t="str">
        <f>IF(J839="","",IFERROR(INDEX('Team Rosters'!$C$6:$C$205,MATCH(J839,'Team Rosters'!$B$6:$B$205,0)),"CODE NOT FOUND"))</f>
        <v/>
      </c>
      <c r="L839" s="31" t="str">
        <f t="shared" si="39"/>
        <v/>
      </c>
      <c r="M839" s="31" t="str">
        <f>IF(OR(J839="",C839&lt;&gt;"League",L839&lt;&gt;"VALID"),"",COUNTIFS($J$6:J839,J839,$G$6:G839,G839,$C$6:C839,"League"))</f>
        <v/>
      </c>
      <c r="N839" s="31" t="str">
        <f t="shared" si="40"/>
        <v/>
      </c>
      <c r="O839" s="37" t="str">
        <f t="shared" si="41"/>
        <v/>
      </c>
    </row>
    <row r="840" spans="1:15" ht="15">
      <c r="A840" s="30">
        <v>175</v>
      </c>
      <c r="B840" s="31" t="s">
        <v>553</v>
      </c>
      <c r="C840" s="31" t="s">
        <v>550</v>
      </c>
      <c r="D840" s="31" t="s">
        <v>471</v>
      </c>
      <c r="E840" s="31" t="s">
        <v>472</v>
      </c>
      <c r="F840" s="31" t="str">
        <f>IF(H840=1,INDEX('Match Results'!$G$6:$G$185,MATCH(A840,'Match Results'!$A$6:$A$185,0)),INDEX('Match Results'!$H$6:$H$185,MATCH(A840,'Match Results'!$A$6:$A$185,0)))</f>
        <v>B4</v>
      </c>
      <c r="G840" s="31" t="str">
        <f>IF(H840=1,INDEX('Match Results'!$H$6:$H$185,MATCH(A840,'Match Results'!$A$6:$A$185,0)),INDEX('Match Results'!$G$6:$G$185,MATCH(A840,'Match Results'!$A$6:$A$185,0)))</f>
        <v>B3</v>
      </c>
      <c r="H840" s="31">
        <v>2</v>
      </c>
      <c r="I840" s="31">
        <v>3</v>
      </c>
      <c r="J840" s="32"/>
      <c r="K840" s="31" t="str">
        <f>IF(J840="","",IFERROR(INDEX('Team Rosters'!$C$6:$C$205,MATCH(J840,'Team Rosters'!$B$6:$B$205,0)),"CODE NOT FOUND"))</f>
        <v/>
      </c>
      <c r="L840" s="31" t="str">
        <f t="shared" si="39"/>
        <v/>
      </c>
      <c r="M840" s="31" t="str">
        <f>IF(OR(J840="",C840&lt;&gt;"League",L840&lt;&gt;"VALID"),"",COUNTIFS($J$6:J840,J840,$G$6:G840,G840,$C$6:C840,"League"))</f>
        <v/>
      </c>
      <c r="N840" s="31" t="str">
        <f t="shared" si="40"/>
        <v/>
      </c>
      <c r="O840" s="37" t="str">
        <f t="shared" si="41"/>
        <v/>
      </c>
    </row>
    <row r="841" spans="1:15" ht="15">
      <c r="A841" s="30">
        <v>175</v>
      </c>
      <c r="B841" s="31" t="s">
        <v>553</v>
      </c>
      <c r="C841" s="31" t="s">
        <v>550</v>
      </c>
      <c r="D841" s="31" t="s">
        <v>471</v>
      </c>
      <c r="E841" s="31" t="s">
        <v>472</v>
      </c>
      <c r="F841" s="31" t="str">
        <f>IF(H841=1,INDEX('Match Results'!$G$6:$G$185,MATCH(A841,'Match Results'!$A$6:$A$185,0)),INDEX('Match Results'!$H$6:$H$185,MATCH(A841,'Match Results'!$A$6:$A$185,0)))</f>
        <v>B4</v>
      </c>
      <c r="G841" s="31" t="str">
        <f>IF(H841=1,INDEX('Match Results'!$H$6:$H$185,MATCH(A841,'Match Results'!$A$6:$A$185,0)),INDEX('Match Results'!$G$6:$G$185,MATCH(A841,'Match Results'!$A$6:$A$185,0)))</f>
        <v>B3</v>
      </c>
      <c r="H841" s="31">
        <v>2</v>
      </c>
      <c r="I841" s="31">
        <v>4</v>
      </c>
      <c r="J841" s="32"/>
      <c r="K841" s="31" t="str">
        <f>IF(J841="","",IFERROR(INDEX('Team Rosters'!$C$6:$C$205,MATCH(J841,'Team Rosters'!$B$6:$B$205,0)),"CODE NOT FOUND"))</f>
        <v/>
      </c>
      <c r="L841" s="31" t="str">
        <f t="shared" si="39"/>
        <v/>
      </c>
      <c r="M841" s="31" t="str">
        <f>IF(OR(J841="",C841&lt;&gt;"League",L841&lt;&gt;"VALID"),"",COUNTIFS($J$6:J841,J841,$G$6:G841,G841,$C$6:C841,"League"))</f>
        <v/>
      </c>
      <c r="N841" s="31" t="str">
        <f t="shared" si="40"/>
        <v/>
      </c>
      <c r="O841" s="37" t="str">
        <f t="shared" si="41"/>
        <v/>
      </c>
    </row>
    <row r="842" spans="1:15" ht="15">
      <c r="A842" s="30">
        <v>176</v>
      </c>
      <c r="B842" s="31" t="s">
        <v>553</v>
      </c>
      <c r="C842" s="31" t="s">
        <v>550</v>
      </c>
      <c r="D842" s="31" t="s">
        <v>471</v>
      </c>
      <c r="E842" s="31" t="s">
        <v>475</v>
      </c>
      <c r="F842" s="31" t="str">
        <f>IF(H842=1,INDEX('Match Results'!$G$6:$G$185,MATCH(A842,'Match Results'!$A$6:$A$185,0)),INDEX('Match Results'!$H$6:$H$185,MATCH(A842,'Match Results'!$A$6:$A$185,0)))</f>
        <v>B3</v>
      </c>
      <c r="G842" s="31" t="str">
        <f>IF(H842=1,INDEX('Match Results'!$H$6:$H$185,MATCH(A842,'Match Results'!$A$6:$A$185,0)),INDEX('Match Results'!$G$6:$G$185,MATCH(A842,'Match Results'!$A$6:$A$185,0)))</f>
        <v>B4</v>
      </c>
      <c r="H842" s="31">
        <v>1</v>
      </c>
      <c r="I842" s="31">
        <v>1</v>
      </c>
      <c r="J842" s="32"/>
      <c r="K842" s="31" t="str">
        <f>IF(J842="","",IFERROR(INDEX('Team Rosters'!$C$6:$C$205,MATCH(J842,'Team Rosters'!$B$6:$B$205,0)),"CODE NOT FOUND"))</f>
        <v/>
      </c>
      <c r="L842" s="31" t="str">
        <f t="shared" si="39"/>
        <v/>
      </c>
      <c r="M842" s="31" t="str">
        <f>IF(OR(J842="",C842&lt;&gt;"League",L842&lt;&gt;"VALID"),"",COUNTIFS($J$6:J842,J842,$G$6:G842,G842,$C$6:C842,"League"))</f>
        <v/>
      </c>
      <c r="N842" s="31" t="str">
        <f t="shared" si="40"/>
        <v/>
      </c>
      <c r="O842" s="37" t="str">
        <f t="shared" si="41"/>
        <v/>
      </c>
    </row>
    <row r="843" spans="1:15" ht="15">
      <c r="A843" s="30">
        <v>176</v>
      </c>
      <c r="B843" s="31" t="s">
        <v>553</v>
      </c>
      <c r="C843" s="31" t="s">
        <v>550</v>
      </c>
      <c r="D843" s="31" t="s">
        <v>471</v>
      </c>
      <c r="E843" s="31" t="s">
        <v>475</v>
      </c>
      <c r="F843" s="31" t="str">
        <f>IF(H843=1,INDEX('Match Results'!$G$6:$G$185,MATCH(A843,'Match Results'!$A$6:$A$185,0)),INDEX('Match Results'!$H$6:$H$185,MATCH(A843,'Match Results'!$A$6:$A$185,0)))</f>
        <v>B3</v>
      </c>
      <c r="G843" s="31" t="str">
        <f>IF(H843=1,INDEX('Match Results'!$H$6:$H$185,MATCH(A843,'Match Results'!$A$6:$A$185,0)),INDEX('Match Results'!$G$6:$G$185,MATCH(A843,'Match Results'!$A$6:$A$185,0)))</f>
        <v>B4</v>
      </c>
      <c r="H843" s="31">
        <v>1</v>
      </c>
      <c r="I843" s="31">
        <v>2</v>
      </c>
      <c r="J843" s="32"/>
      <c r="K843" s="31" t="str">
        <f>IF(J843="","",IFERROR(INDEX('Team Rosters'!$C$6:$C$205,MATCH(J843,'Team Rosters'!$B$6:$B$205,0)),"CODE NOT FOUND"))</f>
        <v/>
      </c>
      <c r="L843" s="31" t="str">
        <f t="shared" si="39"/>
        <v/>
      </c>
      <c r="M843" s="31" t="str">
        <f>IF(OR(J843="",C843&lt;&gt;"League",L843&lt;&gt;"VALID"),"",COUNTIFS($J$6:J843,J843,$G$6:G843,G843,$C$6:C843,"League"))</f>
        <v/>
      </c>
      <c r="N843" s="31" t="str">
        <f t="shared" si="40"/>
        <v/>
      </c>
      <c r="O843" s="37" t="str">
        <f t="shared" si="41"/>
        <v/>
      </c>
    </row>
    <row r="844" spans="1:15" ht="15">
      <c r="A844" s="30">
        <v>176</v>
      </c>
      <c r="B844" s="31" t="s">
        <v>553</v>
      </c>
      <c r="C844" s="31" t="s">
        <v>550</v>
      </c>
      <c r="D844" s="31" t="s">
        <v>471</v>
      </c>
      <c r="E844" s="31" t="s">
        <v>475</v>
      </c>
      <c r="F844" s="31" t="str">
        <f>IF(H844=1,INDEX('Match Results'!$G$6:$G$185,MATCH(A844,'Match Results'!$A$6:$A$185,0)),INDEX('Match Results'!$H$6:$H$185,MATCH(A844,'Match Results'!$A$6:$A$185,0)))</f>
        <v>B4</v>
      </c>
      <c r="G844" s="31" t="str">
        <f>IF(H844=1,INDEX('Match Results'!$H$6:$H$185,MATCH(A844,'Match Results'!$A$6:$A$185,0)),INDEX('Match Results'!$G$6:$G$185,MATCH(A844,'Match Results'!$A$6:$A$185,0)))</f>
        <v>B3</v>
      </c>
      <c r="H844" s="31">
        <v>2</v>
      </c>
      <c r="I844" s="31">
        <v>3</v>
      </c>
      <c r="J844" s="32"/>
      <c r="K844" s="31" t="str">
        <f>IF(J844="","",IFERROR(INDEX('Team Rosters'!$C$6:$C$205,MATCH(J844,'Team Rosters'!$B$6:$B$205,0)),"CODE NOT FOUND"))</f>
        <v/>
      </c>
      <c r="L844" s="31" t="str">
        <f t="shared" si="39"/>
        <v/>
      </c>
      <c r="M844" s="31" t="str">
        <f>IF(OR(J844="",C844&lt;&gt;"League",L844&lt;&gt;"VALID"),"",COUNTIFS($J$6:J844,J844,$G$6:G844,G844,$C$6:C844,"League"))</f>
        <v/>
      </c>
      <c r="N844" s="31" t="str">
        <f t="shared" si="40"/>
        <v/>
      </c>
      <c r="O844" s="37" t="str">
        <f t="shared" si="41"/>
        <v/>
      </c>
    </row>
    <row r="845" spans="1:15" ht="15">
      <c r="A845" s="30">
        <v>176</v>
      </c>
      <c r="B845" s="31" t="s">
        <v>553</v>
      </c>
      <c r="C845" s="31" t="s">
        <v>550</v>
      </c>
      <c r="D845" s="31" t="s">
        <v>471</v>
      </c>
      <c r="E845" s="31" t="s">
        <v>475</v>
      </c>
      <c r="F845" s="31" t="str">
        <f>IF(H845=1,INDEX('Match Results'!$G$6:$G$185,MATCH(A845,'Match Results'!$A$6:$A$185,0)),INDEX('Match Results'!$H$6:$H$185,MATCH(A845,'Match Results'!$A$6:$A$185,0)))</f>
        <v>B4</v>
      </c>
      <c r="G845" s="31" t="str">
        <f>IF(H845=1,INDEX('Match Results'!$H$6:$H$185,MATCH(A845,'Match Results'!$A$6:$A$185,0)),INDEX('Match Results'!$G$6:$G$185,MATCH(A845,'Match Results'!$A$6:$A$185,0)))</f>
        <v>B3</v>
      </c>
      <c r="H845" s="31">
        <v>2</v>
      </c>
      <c r="I845" s="31">
        <v>4</v>
      </c>
      <c r="J845" s="32"/>
      <c r="K845" s="31" t="str">
        <f>IF(J845="","",IFERROR(INDEX('Team Rosters'!$C$6:$C$205,MATCH(J845,'Team Rosters'!$B$6:$B$205,0)),"CODE NOT FOUND"))</f>
        <v/>
      </c>
      <c r="L845" s="31" t="str">
        <f t="shared" si="39"/>
        <v/>
      </c>
      <c r="M845" s="31" t="str">
        <f>IF(OR(J845="",C845&lt;&gt;"League",L845&lt;&gt;"VALID"),"",COUNTIFS($J$6:J845,J845,$G$6:G845,G845,$C$6:C845,"League"))</f>
        <v/>
      </c>
      <c r="N845" s="31" t="str">
        <f t="shared" si="40"/>
        <v/>
      </c>
      <c r="O845" s="37" t="str">
        <f t="shared" si="41"/>
        <v/>
      </c>
    </row>
    <row r="846" spans="1:15" ht="15">
      <c r="A846" s="30">
        <v>177</v>
      </c>
      <c r="B846" s="31" t="s">
        <v>553</v>
      </c>
      <c r="C846" s="31" t="s">
        <v>550</v>
      </c>
      <c r="D846" s="31" t="s">
        <v>471</v>
      </c>
      <c r="E846" s="31" t="s">
        <v>477</v>
      </c>
      <c r="F846" s="31" t="str">
        <f>IF(H846=1,INDEX('Match Results'!$G$6:$G$185,MATCH(A846,'Match Results'!$A$6:$A$185,0)),INDEX('Match Results'!$H$6:$H$185,MATCH(A846,'Match Results'!$A$6:$A$185,0)))</f>
        <v>B3</v>
      </c>
      <c r="G846" s="31" t="str">
        <f>IF(H846=1,INDEX('Match Results'!$H$6:$H$185,MATCH(A846,'Match Results'!$A$6:$A$185,0)),INDEX('Match Results'!$G$6:$G$185,MATCH(A846,'Match Results'!$A$6:$A$185,0)))</f>
        <v>B4</v>
      </c>
      <c r="H846" s="31">
        <v>1</v>
      </c>
      <c r="I846" s="31">
        <v>1</v>
      </c>
      <c r="J846" s="32"/>
      <c r="K846" s="31" t="str">
        <f>IF(J846="","",IFERROR(INDEX('Team Rosters'!$C$6:$C$205,MATCH(J846,'Team Rosters'!$B$6:$B$205,0)),"CODE NOT FOUND"))</f>
        <v/>
      </c>
      <c r="L846" s="31" t="str">
        <f t="shared" si="39"/>
        <v/>
      </c>
      <c r="M846" s="31" t="str">
        <f>IF(OR(J846="",C846&lt;&gt;"League",L846&lt;&gt;"VALID"),"",COUNTIFS($J$6:J846,J846,$G$6:G846,G846,$C$6:C846,"League"))</f>
        <v/>
      </c>
      <c r="N846" s="31" t="str">
        <f t="shared" si="40"/>
        <v/>
      </c>
      <c r="O846" s="37" t="str">
        <f t="shared" si="41"/>
        <v/>
      </c>
    </row>
    <row r="847" spans="1:15" ht="15">
      <c r="A847" s="30">
        <v>177</v>
      </c>
      <c r="B847" s="31" t="s">
        <v>553</v>
      </c>
      <c r="C847" s="31" t="s">
        <v>550</v>
      </c>
      <c r="D847" s="31" t="s">
        <v>471</v>
      </c>
      <c r="E847" s="31" t="s">
        <v>477</v>
      </c>
      <c r="F847" s="31" t="str">
        <f>IF(H847=1,INDEX('Match Results'!$G$6:$G$185,MATCH(A847,'Match Results'!$A$6:$A$185,0)),INDEX('Match Results'!$H$6:$H$185,MATCH(A847,'Match Results'!$A$6:$A$185,0)))</f>
        <v>B3</v>
      </c>
      <c r="G847" s="31" t="str">
        <f>IF(H847=1,INDEX('Match Results'!$H$6:$H$185,MATCH(A847,'Match Results'!$A$6:$A$185,0)),INDEX('Match Results'!$G$6:$G$185,MATCH(A847,'Match Results'!$A$6:$A$185,0)))</f>
        <v>B4</v>
      </c>
      <c r="H847" s="31">
        <v>1</v>
      </c>
      <c r="I847" s="31">
        <v>2</v>
      </c>
      <c r="J847" s="32"/>
      <c r="K847" s="31" t="str">
        <f>IF(J847="","",IFERROR(INDEX('Team Rosters'!$C$6:$C$205,MATCH(J847,'Team Rosters'!$B$6:$B$205,0)),"CODE NOT FOUND"))</f>
        <v/>
      </c>
      <c r="L847" s="31" t="str">
        <f t="shared" si="39"/>
        <v/>
      </c>
      <c r="M847" s="31" t="str">
        <f>IF(OR(J847="",C847&lt;&gt;"League",L847&lt;&gt;"VALID"),"",COUNTIFS($J$6:J847,J847,$G$6:G847,G847,$C$6:C847,"League"))</f>
        <v/>
      </c>
      <c r="N847" s="31" t="str">
        <f t="shared" si="40"/>
        <v/>
      </c>
      <c r="O847" s="37" t="str">
        <f t="shared" si="41"/>
        <v/>
      </c>
    </row>
    <row r="848" spans="1:15" ht="15">
      <c r="A848" s="30">
        <v>177</v>
      </c>
      <c r="B848" s="31" t="s">
        <v>553</v>
      </c>
      <c r="C848" s="31" t="s">
        <v>550</v>
      </c>
      <c r="D848" s="31" t="s">
        <v>471</v>
      </c>
      <c r="E848" s="31" t="s">
        <v>477</v>
      </c>
      <c r="F848" s="31" t="str">
        <f>IF(H848=1,INDEX('Match Results'!$G$6:$G$185,MATCH(A848,'Match Results'!$A$6:$A$185,0)),INDEX('Match Results'!$H$6:$H$185,MATCH(A848,'Match Results'!$A$6:$A$185,0)))</f>
        <v>B4</v>
      </c>
      <c r="G848" s="31" t="str">
        <f>IF(H848=1,INDEX('Match Results'!$H$6:$H$185,MATCH(A848,'Match Results'!$A$6:$A$185,0)),INDEX('Match Results'!$G$6:$G$185,MATCH(A848,'Match Results'!$A$6:$A$185,0)))</f>
        <v>B3</v>
      </c>
      <c r="H848" s="31">
        <v>2</v>
      </c>
      <c r="I848" s="31">
        <v>3</v>
      </c>
      <c r="J848" s="32"/>
      <c r="K848" s="31" t="str">
        <f>IF(J848="","",IFERROR(INDEX('Team Rosters'!$C$6:$C$205,MATCH(J848,'Team Rosters'!$B$6:$B$205,0)),"CODE NOT FOUND"))</f>
        <v/>
      </c>
      <c r="L848" s="31" t="str">
        <f t="shared" si="39"/>
        <v/>
      </c>
      <c r="M848" s="31" t="str">
        <f>IF(OR(J848="",C848&lt;&gt;"League",L848&lt;&gt;"VALID"),"",COUNTIFS($J$6:J848,J848,$G$6:G848,G848,$C$6:C848,"League"))</f>
        <v/>
      </c>
      <c r="N848" s="31" t="str">
        <f t="shared" si="40"/>
        <v/>
      </c>
      <c r="O848" s="37" t="str">
        <f t="shared" si="41"/>
        <v/>
      </c>
    </row>
    <row r="849" spans="1:15" ht="15">
      <c r="A849" s="30">
        <v>177</v>
      </c>
      <c r="B849" s="31" t="s">
        <v>553</v>
      </c>
      <c r="C849" s="31" t="s">
        <v>550</v>
      </c>
      <c r="D849" s="31" t="s">
        <v>471</v>
      </c>
      <c r="E849" s="31" t="s">
        <v>477</v>
      </c>
      <c r="F849" s="31" t="str">
        <f>IF(H849=1,INDEX('Match Results'!$G$6:$G$185,MATCH(A849,'Match Results'!$A$6:$A$185,0)),INDEX('Match Results'!$H$6:$H$185,MATCH(A849,'Match Results'!$A$6:$A$185,0)))</f>
        <v>B4</v>
      </c>
      <c r="G849" s="31" t="str">
        <f>IF(H849=1,INDEX('Match Results'!$H$6:$H$185,MATCH(A849,'Match Results'!$A$6:$A$185,0)),INDEX('Match Results'!$G$6:$G$185,MATCH(A849,'Match Results'!$A$6:$A$185,0)))</f>
        <v>B3</v>
      </c>
      <c r="H849" s="31">
        <v>2</v>
      </c>
      <c r="I849" s="31">
        <v>4</v>
      </c>
      <c r="J849" s="32"/>
      <c r="K849" s="31" t="str">
        <f>IF(J849="","",IFERROR(INDEX('Team Rosters'!$C$6:$C$205,MATCH(J849,'Team Rosters'!$B$6:$B$205,0)),"CODE NOT FOUND"))</f>
        <v/>
      </c>
      <c r="L849" s="31" t="str">
        <f t="shared" si="39"/>
        <v/>
      </c>
      <c r="M849" s="31" t="str">
        <f>IF(OR(J849="",C849&lt;&gt;"League",L849&lt;&gt;"VALID"),"",COUNTIFS($J$6:J849,J849,$G$6:G849,G849,$C$6:C849,"League"))</f>
        <v/>
      </c>
      <c r="N849" s="31" t="str">
        <f t="shared" si="40"/>
        <v/>
      </c>
      <c r="O849" s="37" t="str">
        <f t="shared" si="41"/>
        <v/>
      </c>
    </row>
    <row r="850" spans="1:15" ht="15">
      <c r="A850" s="30">
        <v>178</v>
      </c>
      <c r="B850" s="31" t="s">
        <v>554</v>
      </c>
      <c r="C850" s="31" t="s">
        <v>550</v>
      </c>
      <c r="D850" s="31" t="s">
        <v>479</v>
      </c>
      <c r="E850" s="31" t="s">
        <v>472</v>
      </c>
      <c r="F850" s="31" t="str">
        <f>IF(H850=1,INDEX('Match Results'!$G$6:$G$185,MATCH(A850,'Match Results'!$A$6:$A$185,0)),INDEX('Match Results'!$H$6:$H$185,MATCH(A850,'Match Results'!$A$6:$A$185,0)))</f>
        <v>B3</v>
      </c>
      <c r="G850" s="31" t="str">
        <f>IF(H850=1,INDEX('Match Results'!$H$6:$H$185,MATCH(A850,'Match Results'!$A$6:$A$185,0)),INDEX('Match Results'!$G$6:$G$185,MATCH(A850,'Match Results'!$A$6:$A$185,0)))</f>
        <v>B4</v>
      </c>
      <c r="H850" s="31">
        <v>1</v>
      </c>
      <c r="I850" s="31">
        <v>1</v>
      </c>
      <c r="J850" s="32"/>
      <c r="K850" s="31" t="str">
        <f>IF(J850="","",IFERROR(INDEX('Team Rosters'!$C$6:$C$205,MATCH(J850,'Team Rosters'!$B$6:$B$205,0)),"CODE NOT FOUND"))</f>
        <v/>
      </c>
      <c r="L850" s="31" t="str">
        <f t="shared" si="39"/>
        <v/>
      </c>
      <c r="M850" s="31" t="str">
        <f>IF(OR(J850="",C850&lt;&gt;"League",L850&lt;&gt;"VALID"),"",COUNTIFS($J$6:J850,J850,$G$6:G850,G850,$C$6:C850,"League"))</f>
        <v/>
      </c>
      <c r="N850" s="31" t="str">
        <f t="shared" si="40"/>
        <v/>
      </c>
      <c r="O850" s="37" t="str">
        <f t="shared" si="41"/>
        <v/>
      </c>
    </row>
    <row r="851" spans="1:15" ht="15">
      <c r="A851" s="30">
        <v>178</v>
      </c>
      <c r="B851" s="31" t="s">
        <v>554</v>
      </c>
      <c r="C851" s="31" t="s">
        <v>550</v>
      </c>
      <c r="D851" s="31" t="s">
        <v>479</v>
      </c>
      <c r="E851" s="31" t="s">
        <v>472</v>
      </c>
      <c r="F851" s="31" t="str">
        <f>IF(H851=1,INDEX('Match Results'!$G$6:$G$185,MATCH(A851,'Match Results'!$A$6:$A$185,0)),INDEX('Match Results'!$H$6:$H$185,MATCH(A851,'Match Results'!$A$6:$A$185,0)))</f>
        <v>B3</v>
      </c>
      <c r="G851" s="31" t="str">
        <f>IF(H851=1,INDEX('Match Results'!$H$6:$H$185,MATCH(A851,'Match Results'!$A$6:$A$185,0)),INDEX('Match Results'!$G$6:$G$185,MATCH(A851,'Match Results'!$A$6:$A$185,0)))</f>
        <v>B4</v>
      </c>
      <c r="H851" s="31">
        <v>1</v>
      </c>
      <c r="I851" s="31">
        <v>2</v>
      </c>
      <c r="J851" s="32"/>
      <c r="K851" s="31" t="str">
        <f>IF(J851="","",IFERROR(INDEX('Team Rosters'!$C$6:$C$205,MATCH(J851,'Team Rosters'!$B$6:$B$205,0)),"CODE NOT FOUND"))</f>
        <v/>
      </c>
      <c r="L851" s="31" t="str">
        <f t="shared" si="39"/>
        <v/>
      </c>
      <c r="M851" s="31" t="str">
        <f>IF(OR(J851="",C851&lt;&gt;"League",L851&lt;&gt;"VALID"),"",COUNTIFS($J$6:J851,J851,$G$6:G851,G851,$C$6:C851,"League"))</f>
        <v/>
      </c>
      <c r="N851" s="31" t="str">
        <f t="shared" si="40"/>
        <v/>
      </c>
      <c r="O851" s="37" t="str">
        <f t="shared" si="41"/>
        <v/>
      </c>
    </row>
    <row r="852" spans="1:15" ht="15">
      <c r="A852" s="30">
        <v>178</v>
      </c>
      <c r="B852" s="31" t="s">
        <v>554</v>
      </c>
      <c r="C852" s="31" t="s">
        <v>550</v>
      </c>
      <c r="D852" s="31" t="s">
        <v>479</v>
      </c>
      <c r="E852" s="31" t="s">
        <v>472</v>
      </c>
      <c r="F852" s="31" t="str">
        <f>IF(H852=1,INDEX('Match Results'!$G$6:$G$185,MATCH(A852,'Match Results'!$A$6:$A$185,0)),INDEX('Match Results'!$H$6:$H$185,MATCH(A852,'Match Results'!$A$6:$A$185,0)))</f>
        <v>B4</v>
      </c>
      <c r="G852" s="31" t="str">
        <f>IF(H852=1,INDEX('Match Results'!$H$6:$H$185,MATCH(A852,'Match Results'!$A$6:$A$185,0)),INDEX('Match Results'!$G$6:$G$185,MATCH(A852,'Match Results'!$A$6:$A$185,0)))</f>
        <v>B3</v>
      </c>
      <c r="H852" s="31">
        <v>2</v>
      </c>
      <c r="I852" s="31">
        <v>3</v>
      </c>
      <c r="J852" s="32"/>
      <c r="K852" s="31" t="str">
        <f>IF(J852="","",IFERROR(INDEX('Team Rosters'!$C$6:$C$205,MATCH(J852,'Team Rosters'!$B$6:$B$205,0)),"CODE NOT FOUND"))</f>
        <v/>
      </c>
      <c r="L852" s="31" t="str">
        <f t="shared" si="39"/>
        <v/>
      </c>
      <c r="M852" s="31" t="str">
        <f>IF(OR(J852="",C852&lt;&gt;"League",L852&lt;&gt;"VALID"),"",COUNTIFS($J$6:J852,J852,$G$6:G852,G852,$C$6:C852,"League"))</f>
        <v/>
      </c>
      <c r="N852" s="31" t="str">
        <f t="shared" si="40"/>
        <v/>
      </c>
      <c r="O852" s="37" t="str">
        <f t="shared" si="41"/>
        <v/>
      </c>
    </row>
    <row r="853" spans="1:15" ht="15">
      <c r="A853" s="30">
        <v>178</v>
      </c>
      <c r="B853" s="31" t="s">
        <v>554</v>
      </c>
      <c r="C853" s="31" t="s">
        <v>550</v>
      </c>
      <c r="D853" s="31" t="s">
        <v>479</v>
      </c>
      <c r="E853" s="31" t="s">
        <v>472</v>
      </c>
      <c r="F853" s="31" t="str">
        <f>IF(H853=1,INDEX('Match Results'!$G$6:$G$185,MATCH(A853,'Match Results'!$A$6:$A$185,0)),INDEX('Match Results'!$H$6:$H$185,MATCH(A853,'Match Results'!$A$6:$A$185,0)))</f>
        <v>B4</v>
      </c>
      <c r="G853" s="31" t="str">
        <f>IF(H853=1,INDEX('Match Results'!$H$6:$H$185,MATCH(A853,'Match Results'!$A$6:$A$185,0)),INDEX('Match Results'!$G$6:$G$185,MATCH(A853,'Match Results'!$A$6:$A$185,0)))</f>
        <v>B3</v>
      </c>
      <c r="H853" s="31">
        <v>2</v>
      </c>
      <c r="I853" s="31">
        <v>4</v>
      </c>
      <c r="J853" s="32"/>
      <c r="K853" s="31" t="str">
        <f>IF(J853="","",IFERROR(INDEX('Team Rosters'!$C$6:$C$205,MATCH(J853,'Team Rosters'!$B$6:$B$205,0)),"CODE NOT FOUND"))</f>
        <v/>
      </c>
      <c r="L853" s="31" t="str">
        <f t="shared" si="39"/>
        <v/>
      </c>
      <c r="M853" s="31" t="str">
        <f>IF(OR(J853="",C853&lt;&gt;"League",L853&lt;&gt;"VALID"),"",COUNTIFS($J$6:J853,J853,$G$6:G853,G853,$C$6:C853,"League"))</f>
        <v/>
      </c>
      <c r="N853" s="31" t="str">
        <f t="shared" si="40"/>
        <v/>
      </c>
      <c r="O853" s="37" t="str">
        <f t="shared" si="41"/>
        <v/>
      </c>
    </row>
    <row r="854" spans="1:15" ht="15">
      <c r="A854" s="30">
        <v>179</v>
      </c>
      <c r="B854" s="31" t="s">
        <v>554</v>
      </c>
      <c r="C854" s="31" t="s">
        <v>550</v>
      </c>
      <c r="D854" s="31" t="s">
        <v>479</v>
      </c>
      <c r="E854" s="31" t="s">
        <v>475</v>
      </c>
      <c r="F854" s="31" t="str">
        <f>IF(H854=1,INDEX('Match Results'!$G$6:$G$185,MATCH(A854,'Match Results'!$A$6:$A$185,0)),INDEX('Match Results'!$H$6:$H$185,MATCH(A854,'Match Results'!$A$6:$A$185,0)))</f>
        <v>B3</v>
      </c>
      <c r="G854" s="31" t="str">
        <f>IF(H854=1,INDEX('Match Results'!$H$6:$H$185,MATCH(A854,'Match Results'!$A$6:$A$185,0)),INDEX('Match Results'!$G$6:$G$185,MATCH(A854,'Match Results'!$A$6:$A$185,0)))</f>
        <v>B4</v>
      </c>
      <c r="H854" s="31">
        <v>1</v>
      </c>
      <c r="I854" s="31">
        <v>1</v>
      </c>
      <c r="J854" s="32"/>
      <c r="K854" s="31" t="str">
        <f>IF(J854="","",IFERROR(INDEX('Team Rosters'!$C$6:$C$205,MATCH(J854,'Team Rosters'!$B$6:$B$205,0)),"CODE NOT FOUND"))</f>
        <v/>
      </c>
      <c r="L854" s="31" t="str">
        <f t="shared" si="39"/>
        <v/>
      </c>
      <c r="M854" s="31" t="str">
        <f>IF(OR(J854="",C854&lt;&gt;"League",L854&lt;&gt;"VALID"),"",COUNTIFS($J$6:J854,J854,$G$6:G854,G854,$C$6:C854,"League"))</f>
        <v/>
      </c>
      <c r="N854" s="31" t="str">
        <f t="shared" si="40"/>
        <v/>
      </c>
      <c r="O854" s="37" t="str">
        <f t="shared" si="41"/>
        <v/>
      </c>
    </row>
    <row r="855" spans="1:15" ht="15">
      <c r="A855" s="30">
        <v>179</v>
      </c>
      <c r="B855" s="31" t="s">
        <v>554</v>
      </c>
      <c r="C855" s="31" t="s">
        <v>550</v>
      </c>
      <c r="D855" s="31" t="s">
        <v>479</v>
      </c>
      <c r="E855" s="31" t="s">
        <v>475</v>
      </c>
      <c r="F855" s="31" t="str">
        <f>IF(H855=1,INDEX('Match Results'!$G$6:$G$185,MATCH(A855,'Match Results'!$A$6:$A$185,0)),INDEX('Match Results'!$H$6:$H$185,MATCH(A855,'Match Results'!$A$6:$A$185,0)))</f>
        <v>B3</v>
      </c>
      <c r="G855" s="31" t="str">
        <f>IF(H855=1,INDEX('Match Results'!$H$6:$H$185,MATCH(A855,'Match Results'!$A$6:$A$185,0)),INDEX('Match Results'!$G$6:$G$185,MATCH(A855,'Match Results'!$A$6:$A$185,0)))</f>
        <v>B4</v>
      </c>
      <c r="H855" s="31">
        <v>1</v>
      </c>
      <c r="I855" s="31">
        <v>2</v>
      </c>
      <c r="J855" s="32"/>
      <c r="K855" s="31" t="str">
        <f>IF(J855="","",IFERROR(INDEX('Team Rosters'!$C$6:$C$205,MATCH(J855,'Team Rosters'!$B$6:$B$205,0)),"CODE NOT FOUND"))</f>
        <v/>
      </c>
      <c r="L855" s="31" t="str">
        <f t="shared" si="39"/>
        <v/>
      </c>
      <c r="M855" s="31" t="str">
        <f>IF(OR(J855="",C855&lt;&gt;"League",L855&lt;&gt;"VALID"),"",COUNTIFS($J$6:J855,J855,$G$6:G855,G855,$C$6:C855,"League"))</f>
        <v/>
      </c>
      <c r="N855" s="31" t="str">
        <f t="shared" si="40"/>
        <v/>
      </c>
      <c r="O855" s="37" t="str">
        <f t="shared" si="41"/>
        <v/>
      </c>
    </row>
    <row r="856" spans="1:15" ht="15">
      <c r="A856" s="30">
        <v>179</v>
      </c>
      <c r="B856" s="31" t="s">
        <v>554</v>
      </c>
      <c r="C856" s="31" t="s">
        <v>550</v>
      </c>
      <c r="D856" s="31" t="s">
        <v>479</v>
      </c>
      <c r="E856" s="31" t="s">
        <v>475</v>
      </c>
      <c r="F856" s="31" t="str">
        <f>IF(H856=1,INDEX('Match Results'!$G$6:$G$185,MATCH(A856,'Match Results'!$A$6:$A$185,0)),INDEX('Match Results'!$H$6:$H$185,MATCH(A856,'Match Results'!$A$6:$A$185,0)))</f>
        <v>B4</v>
      </c>
      <c r="G856" s="31" t="str">
        <f>IF(H856=1,INDEX('Match Results'!$H$6:$H$185,MATCH(A856,'Match Results'!$A$6:$A$185,0)),INDEX('Match Results'!$G$6:$G$185,MATCH(A856,'Match Results'!$A$6:$A$185,0)))</f>
        <v>B3</v>
      </c>
      <c r="H856" s="31">
        <v>2</v>
      </c>
      <c r="I856" s="31">
        <v>3</v>
      </c>
      <c r="J856" s="32"/>
      <c r="K856" s="31" t="str">
        <f>IF(J856="","",IFERROR(INDEX('Team Rosters'!$C$6:$C$205,MATCH(J856,'Team Rosters'!$B$6:$B$205,0)),"CODE NOT FOUND"))</f>
        <v/>
      </c>
      <c r="L856" s="31" t="str">
        <f t="shared" si="39"/>
        <v/>
      </c>
      <c r="M856" s="31" t="str">
        <f>IF(OR(J856="",C856&lt;&gt;"League",L856&lt;&gt;"VALID"),"",COUNTIFS($J$6:J856,J856,$G$6:G856,G856,$C$6:C856,"League"))</f>
        <v/>
      </c>
      <c r="N856" s="31" t="str">
        <f t="shared" si="40"/>
        <v/>
      </c>
      <c r="O856" s="37" t="str">
        <f t="shared" si="41"/>
        <v/>
      </c>
    </row>
    <row r="857" spans="1:15" ht="15">
      <c r="A857" s="30">
        <v>179</v>
      </c>
      <c r="B857" s="31" t="s">
        <v>554</v>
      </c>
      <c r="C857" s="31" t="s">
        <v>550</v>
      </c>
      <c r="D857" s="31" t="s">
        <v>479</v>
      </c>
      <c r="E857" s="31" t="s">
        <v>475</v>
      </c>
      <c r="F857" s="31" t="str">
        <f>IF(H857=1,INDEX('Match Results'!$G$6:$G$185,MATCH(A857,'Match Results'!$A$6:$A$185,0)),INDEX('Match Results'!$H$6:$H$185,MATCH(A857,'Match Results'!$A$6:$A$185,0)))</f>
        <v>B4</v>
      </c>
      <c r="G857" s="31" t="str">
        <f>IF(H857=1,INDEX('Match Results'!$H$6:$H$185,MATCH(A857,'Match Results'!$A$6:$A$185,0)),INDEX('Match Results'!$G$6:$G$185,MATCH(A857,'Match Results'!$A$6:$A$185,0)))</f>
        <v>B3</v>
      </c>
      <c r="H857" s="31">
        <v>2</v>
      </c>
      <c r="I857" s="31">
        <v>4</v>
      </c>
      <c r="J857" s="32"/>
      <c r="K857" s="31" t="str">
        <f>IF(J857="","",IFERROR(INDEX('Team Rosters'!$C$6:$C$205,MATCH(J857,'Team Rosters'!$B$6:$B$205,0)),"CODE NOT FOUND"))</f>
        <v/>
      </c>
      <c r="L857" s="31" t="str">
        <f t="shared" si="39"/>
        <v/>
      </c>
      <c r="M857" s="31" t="str">
        <f>IF(OR(J857="",C857&lt;&gt;"League",L857&lt;&gt;"VALID"),"",COUNTIFS($J$6:J857,J857,$G$6:G857,G857,$C$6:C857,"League"))</f>
        <v/>
      </c>
      <c r="N857" s="31" t="str">
        <f t="shared" si="40"/>
        <v/>
      </c>
      <c r="O857" s="37" t="str">
        <f t="shared" si="41"/>
        <v/>
      </c>
    </row>
    <row r="858" spans="1:15" ht="15">
      <c r="A858" s="30">
        <v>180</v>
      </c>
      <c r="B858" s="31" t="s">
        <v>554</v>
      </c>
      <c r="C858" s="31" t="s">
        <v>550</v>
      </c>
      <c r="D858" s="31" t="s">
        <v>479</v>
      </c>
      <c r="E858" s="31" t="s">
        <v>477</v>
      </c>
      <c r="F858" s="31" t="str">
        <f>IF(H858=1,INDEX('Match Results'!$G$6:$G$185,MATCH(A858,'Match Results'!$A$6:$A$185,0)),INDEX('Match Results'!$H$6:$H$185,MATCH(A858,'Match Results'!$A$6:$A$185,0)))</f>
        <v>B3</v>
      </c>
      <c r="G858" s="31" t="str">
        <f>IF(H858=1,INDEX('Match Results'!$H$6:$H$185,MATCH(A858,'Match Results'!$A$6:$A$185,0)),INDEX('Match Results'!$G$6:$G$185,MATCH(A858,'Match Results'!$A$6:$A$185,0)))</f>
        <v>B4</v>
      </c>
      <c r="H858" s="31">
        <v>1</v>
      </c>
      <c r="I858" s="31">
        <v>1</v>
      </c>
      <c r="J858" s="32"/>
      <c r="K858" s="31" t="str">
        <f>IF(J858="","",IFERROR(INDEX('Team Rosters'!$C$6:$C$205,MATCH(J858,'Team Rosters'!$B$6:$B$205,0)),"CODE NOT FOUND"))</f>
        <v/>
      </c>
      <c r="L858" s="31" t="str">
        <f t="shared" si="39"/>
        <v/>
      </c>
      <c r="M858" s="31" t="str">
        <f>IF(OR(J858="",C858&lt;&gt;"League",L858&lt;&gt;"VALID"),"",COUNTIFS($J$6:J858,J858,$G$6:G858,G858,$C$6:C858,"League"))</f>
        <v/>
      </c>
      <c r="N858" s="31" t="str">
        <f t="shared" si="40"/>
        <v/>
      </c>
      <c r="O858" s="37" t="str">
        <f t="shared" si="41"/>
        <v/>
      </c>
    </row>
    <row r="859" spans="1:15" ht="15">
      <c r="A859" s="30">
        <v>180</v>
      </c>
      <c r="B859" s="31" t="s">
        <v>554</v>
      </c>
      <c r="C859" s="31" t="s">
        <v>550</v>
      </c>
      <c r="D859" s="31" t="s">
        <v>479</v>
      </c>
      <c r="E859" s="31" t="s">
        <v>477</v>
      </c>
      <c r="F859" s="31" t="str">
        <f>IF(H859=1,INDEX('Match Results'!$G$6:$G$185,MATCH(A859,'Match Results'!$A$6:$A$185,0)),INDEX('Match Results'!$H$6:$H$185,MATCH(A859,'Match Results'!$A$6:$A$185,0)))</f>
        <v>B3</v>
      </c>
      <c r="G859" s="31" t="str">
        <f>IF(H859=1,INDEX('Match Results'!$H$6:$H$185,MATCH(A859,'Match Results'!$A$6:$A$185,0)),INDEX('Match Results'!$G$6:$G$185,MATCH(A859,'Match Results'!$A$6:$A$185,0)))</f>
        <v>B4</v>
      </c>
      <c r="H859" s="31">
        <v>1</v>
      </c>
      <c r="I859" s="31">
        <v>2</v>
      </c>
      <c r="J859" s="32"/>
      <c r="K859" s="31" t="str">
        <f>IF(J859="","",IFERROR(INDEX('Team Rosters'!$C$6:$C$205,MATCH(J859,'Team Rosters'!$B$6:$B$205,0)),"CODE NOT FOUND"))</f>
        <v/>
      </c>
      <c r="L859" s="31" t="str">
        <f t="shared" si="39"/>
        <v/>
      </c>
      <c r="M859" s="31" t="str">
        <f>IF(OR(J859="",C859&lt;&gt;"League",L859&lt;&gt;"VALID"),"",COUNTIFS($J$6:J859,J859,$G$6:G859,G859,$C$6:C859,"League"))</f>
        <v/>
      </c>
      <c r="N859" s="31" t="str">
        <f t="shared" si="40"/>
        <v/>
      </c>
      <c r="O859" s="37" t="str">
        <f t="shared" si="41"/>
        <v/>
      </c>
    </row>
    <row r="860" spans="1:15" ht="15">
      <c r="A860" s="30">
        <v>180</v>
      </c>
      <c r="B860" s="31" t="s">
        <v>554</v>
      </c>
      <c r="C860" s="31" t="s">
        <v>550</v>
      </c>
      <c r="D860" s="31" t="s">
        <v>479</v>
      </c>
      <c r="E860" s="31" t="s">
        <v>477</v>
      </c>
      <c r="F860" s="31" t="str">
        <f>IF(H860=1,INDEX('Match Results'!$G$6:$G$185,MATCH(A860,'Match Results'!$A$6:$A$185,0)),INDEX('Match Results'!$H$6:$H$185,MATCH(A860,'Match Results'!$A$6:$A$185,0)))</f>
        <v>B4</v>
      </c>
      <c r="G860" s="31" t="str">
        <f>IF(H860=1,INDEX('Match Results'!$H$6:$H$185,MATCH(A860,'Match Results'!$A$6:$A$185,0)),INDEX('Match Results'!$G$6:$G$185,MATCH(A860,'Match Results'!$A$6:$A$185,0)))</f>
        <v>B3</v>
      </c>
      <c r="H860" s="31">
        <v>2</v>
      </c>
      <c r="I860" s="31">
        <v>3</v>
      </c>
      <c r="J860" s="32"/>
      <c r="K860" s="31" t="str">
        <f>IF(J860="","",IFERROR(INDEX('Team Rosters'!$C$6:$C$205,MATCH(J860,'Team Rosters'!$B$6:$B$205,0)),"CODE NOT FOUND"))</f>
        <v/>
      </c>
      <c r="L860" s="31" t="str">
        <f t="shared" si="39"/>
        <v/>
      </c>
      <c r="M860" s="31" t="str">
        <f>IF(OR(J860="",C860&lt;&gt;"League",L860&lt;&gt;"VALID"),"",COUNTIFS($J$6:J860,J860,$G$6:G860,G860,$C$6:C860,"League"))</f>
        <v/>
      </c>
      <c r="N860" s="31" t="str">
        <f t="shared" si="40"/>
        <v/>
      </c>
      <c r="O860" s="37" t="str">
        <f t="shared" si="41"/>
        <v/>
      </c>
    </row>
    <row r="861" spans="1:15" ht="15">
      <c r="A861" s="30">
        <v>180</v>
      </c>
      <c r="B861" s="31" t="s">
        <v>554</v>
      </c>
      <c r="C861" s="31" t="s">
        <v>550</v>
      </c>
      <c r="D861" s="31" t="s">
        <v>479</v>
      </c>
      <c r="E861" s="31" t="s">
        <v>477</v>
      </c>
      <c r="F861" s="31" t="str">
        <f>IF(H861=1,INDEX('Match Results'!$G$6:$G$185,MATCH(A861,'Match Results'!$A$6:$A$185,0)),INDEX('Match Results'!$H$6:$H$185,MATCH(A861,'Match Results'!$A$6:$A$185,0)))</f>
        <v>B4</v>
      </c>
      <c r="G861" s="31" t="str">
        <f>IF(H861=1,INDEX('Match Results'!$H$6:$H$185,MATCH(A861,'Match Results'!$A$6:$A$185,0)),INDEX('Match Results'!$G$6:$G$185,MATCH(A861,'Match Results'!$A$6:$A$185,0)))</f>
        <v>B3</v>
      </c>
      <c r="H861" s="31">
        <v>2</v>
      </c>
      <c r="I861" s="31">
        <v>4</v>
      </c>
      <c r="J861" s="32"/>
      <c r="K861" s="31" t="str">
        <f>IF(J861="","",IFERROR(INDEX('Team Rosters'!$C$6:$C$205,MATCH(J861,'Team Rosters'!$B$6:$B$205,0)),"CODE NOT FOUND"))</f>
        <v/>
      </c>
      <c r="L861" s="31" t="str">
        <f t="shared" si="39"/>
        <v/>
      </c>
      <c r="M861" s="31" t="str">
        <f>IF(OR(J861="",C861&lt;&gt;"League",L861&lt;&gt;"VALID"),"",COUNTIFS($J$6:J861,J861,$G$6:G861,G861,$C$6:C861,"League"))</f>
        <v/>
      </c>
      <c r="N861" s="31" t="str">
        <f t="shared" si="40"/>
        <v/>
      </c>
      <c r="O861" s="37" t="str">
        <f t="shared" si="41"/>
        <v/>
      </c>
    </row>
    <row r="862" spans="1:15" ht="15">
      <c r="A862" s="30">
        <v>181</v>
      </c>
      <c r="B862" s="31" t="s">
        <v>555</v>
      </c>
      <c r="C862" s="31" t="s">
        <v>550</v>
      </c>
      <c r="D862" s="31" t="s">
        <v>490</v>
      </c>
      <c r="E862" s="31" t="s">
        <v>491</v>
      </c>
      <c r="F862" s="31" t="str">
        <f>IF(H862=1,INDEX('Match Results'!$G$6:$G$185,MATCH(A862,'Match Results'!$A$6:$A$185,0)),INDEX('Match Results'!$H$6:$H$185,MATCH(A862,'Match Results'!$A$6:$A$185,0)))</f>
        <v>B3</v>
      </c>
      <c r="G862" s="31" t="str">
        <f>IF(H862=1,INDEX('Match Results'!$H$6:$H$185,MATCH(A862,'Match Results'!$A$6:$A$185,0)),INDEX('Match Results'!$G$6:$G$185,MATCH(A862,'Match Results'!$A$6:$A$185,0)))</f>
        <v>B4</v>
      </c>
      <c r="H862" s="31">
        <v>1</v>
      </c>
      <c r="I862" s="31">
        <v>1</v>
      </c>
      <c r="J862" s="32"/>
      <c r="K862" s="31" t="str">
        <f>IF(J862="","",IFERROR(INDEX('Team Rosters'!$C$6:$C$205,MATCH(J862,'Team Rosters'!$B$6:$B$205,0)),"CODE NOT FOUND"))</f>
        <v/>
      </c>
      <c r="L862" s="31" t="str">
        <f t="shared" si="39"/>
        <v/>
      </c>
      <c r="M862" s="31" t="str">
        <f>IF(OR(J862="",C862&lt;&gt;"League",L862&lt;&gt;"VALID"),"",COUNTIFS($J$6:J862,J862,$G$6:G862,G862,$C$6:C862,"League"))</f>
        <v/>
      </c>
      <c r="N862" s="31" t="str">
        <f t="shared" si="40"/>
        <v/>
      </c>
      <c r="O862" s="37" t="str">
        <f t="shared" si="41"/>
        <v/>
      </c>
    </row>
    <row r="863" spans="1:15" ht="15">
      <c r="A863" s="30">
        <v>181</v>
      </c>
      <c r="B863" s="31" t="s">
        <v>555</v>
      </c>
      <c r="C863" s="31" t="s">
        <v>550</v>
      </c>
      <c r="D863" s="31" t="s">
        <v>490</v>
      </c>
      <c r="E863" s="31" t="s">
        <v>491</v>
      </c>
      <c r="F863" s="31" t="str">
        <f>IF(H863=1,INDEX('Match Results'!$G$6:$G$185,MATCH(A863,'Match Results'!$A$6:$A$185,0)),INDEX('Match Results'!$H$6:$H$185,MATCH(A863,'Match Results'!$A$6:$A$185,0)))</f>
        <v>B3</v>
      </c>
      <c r="G863" s="31" t="str">
        <f>IF(H863=1,INDEX('Match Results'!$H$6:$H$185,MATCH(A863,'Match Results'!$A$6:$A$185,0)),INDEX('Match Results'!$G$6:$G$185,MATCH(A863,'Match Results'!$A$6:$A$185,0)))</f>
        <v>B4</v>
      </c>
      <c r="H863" s="31">
        <v>1</v>
      </c>
      <c r="I863" s="31">
        <v>2</v>
      </c>
      <c r="J863" s="32"/>
      <c r="K863" s="31" t="str">
        <f>IF(J863="","",IFERROR(INDEX('Team Rosters'!$C$6:$C$205,MATCH(J863,'Team Rosters'!$B$6:$B$205,0)),"CODE NOT FOUND"))</f>
        <v/>
      </c>
      <c r="L863" s="31" t="str">
        <f t="shared" si="39"/>
        <v/>
      </c>
      <c r="M863" s="31" t="str">
        <f>IF(OR(J863="",C863&lt;&gt;"League",L863&lt;&gt;"VALID"),"",COUNTIFS($J$6:J863,J863,$G$6:G863,G863,$C$6:C863,"League"))</f>
        <v/>
      </c>
      <c r="N863" s="31" t="str">
        <f t="shared" si="40"/>
        <v/>
      </c>
      <c r="O863" s="37" t="str">
        <f t="shared" si="41"/>
        <v/>
      </c>
    </row>
    <row r="864" spans="1:15" ht="15">
      <c r="A864" s="30">
        <v>181</v>
      </c>
      <c r="B864" s="31" t="s">
        <v>555</v>
      </c>
      <c r="C864" s="31" t="s">
        <v>550</v>
      </c>
      <c r="D864" s="31" t="s">
        <v>490</v>
      </c>
      <c r="E864" s="31" t="s">
        <v>491</v>
      </c>
      <c r="F864" s="31" t="str">
        <f>IF(H864=1,INDEX('Match Results'!$G$6:$G$185,MATCH(A864,'Match Results'!$A$6:$A$185,0)),INDEX('Match Results'!$H$6:$H$185,MATCH(A864,'Match Results'!$A$6:$A$185,0)))</f>
        <v>B3</v>
      </c>
      <c r="G864" s="31" t="str">
        <f>IF(H864=1,INDEX('Match Results'!$H$6:$H$185,MATCH(A864,'Match Results'!$A$6:$A$185,0)),INDEX('Match Results'!$G$6:$G$185,MATCH(A864,'Match Results'!$A$6:$A$185,0)))</f>
        <v>B4</v>
      </c>
      <c r="H864" s="31">
        <v>1</v>
      </c>
      <c r="I864" s="31">
        <v>3</v>
      </c>
      <c r="J864" s="32"/>
      <c r="K864" s="31" t="str">
        <f>IF(J864="","",IFERROR(INDEX('Team Rosters'!$C$6:$C$205,MATCH(J864,'Team Rosters'!$B$6:$B$205,0)),"CODE NOT FOUND"))</f>
        <v/>
      </c>
      <c r="L864" s="31" t="str">
        <f t="shared" si="39"/>
        <v/>
      </c>
      <c r="M864" s="31" t="str">
        <f>IF(OR(J864="",C864&lt;&gt;"League",L864&lt;&gt;"VALID"),"",COUNTIFS($J$6:J864,J864,$G$6:G864,G864,$C$6:C864,"League"))</f>
        <v/>
      </c>
      <c r="N864" s="31" t="str">
        <f t="shared" si="40"/>
        <v/>
      </c>
      <c r="O864" s="37" t="str">
        <f t="shared" si="41"/>
        <v/>
      </c>
    </row>
    <row r="865" spans="1:15" ht="15">
      <c r="A865" s="30">
        <v>181</v>
      </c>
      <c r="B865" s="31" t="s">
        <v>555</v>
      </c>
      <c r="C865" s="31" t="s">
        <v>550</v>
      </c>
      <c r="D865" s="31" t="s">
        <v>490</v>
      </c>
      <c r="E865" s="31" t="s">
        <v>491</v>
      </c>
      <c r="F865" s="31" t="str">
        <f>IF(H865=1,INDEX('Match Results'!$G$6:$G$185,MATCH(A865,'Match Results'!$A$6:$A$185,0)),INDEX('Match Results'!$H$6:$H$185,MATCH(A865,'Match Results'!$A$6:$A$185,0)))</f>
        <v>B3</v>
      </c>
      <c r="G865" s="31" t="str">
        <f>IF(H865=1,INDEX('Match Results'!$H$6:$H$185,MATCH(A865,'Match Results'!$A$6:$A$185,0)),INDEX('Match Results'!$G$6:$G$185,MATCH(A865,'Match Results'!$A$6:$A$185,0)))</f>
        <v>B4</v>
      </c>
      <c r="H865" s="31">
        <v>1</v>
      </c>
      <c r="I865" s="31">
        <v>4</v>
      </c>
      <c r="J865" s="32"/>
      <c r="K865" s="31" t="str">
        <f>IF(J865="","",IFERROR(INDEX('Team Rosters'!$C$6:$C$205,MATCH(J865,'Team Rosters'!$B$6:$B$205,0)),"CODE NOT FOUND"))</f>
        <v/>
      </c>
      <c r="L865" s="31" t="str">
        <f t="shared" si="39"/>
        <v/>
      </c>
      <c r="M865" s="31" t="str">
        <f>IF(OR(J865="",C865&lt;&gt;"League",L865&lt;&gt;"VALID"),"",COUNTIFS($J$6:J865,J865,$G$6:G865,G865,$C$6:C865,"League"))</f>
        <v/>
      </c>
      <c r="N865" s="31" t="str">
        <f t="shared" si="40"/>
        <v/>
      </c>
      <c r="O865" s="37" t="str">
        <f t="shared" si="41"/>
        <v/>
      </c>
    </row>
    <row r="866" spans="1:15" ht="15">
      <c r="A866" s="30">
        <v>181</v>
      </c>
      <c r="B866" s="31" t="s">
        <v>555</v>
      </c>
      <c r="C866" s="31" t="s">
        <v>550</v>
      </c>
      <c r="D866" s="31" t="s">
        <v>490</v>
      </c>
      <c r="E866" s="31" t="s">
        <v>491</v>
      </c>
      <c r="F866" s="31" t="str">
        <f>IF(H866=1,INDEX('Match Results'!$G$6:$G$185,MATCH(A866,'Match Results'!$A$6:$A$185,0)),INDEX('Match Results'!$H$6:$H$185,MATCH(A866,'Match Results'!$A$6:$A$185,0)))</f>
        <v>B3</v>
      </c>
      <c r="G866" s="31" t="str">
        <f>IF(H866=1,INDEX('Match Results'!$H$6:$H$185,MATCH(A866,'Match Results'!$A$6:$A$185,0)),INDEX('Match Results'!$G$6:$G$185,MATCH(A866,'Match Results'!$A$6:$A$185,0)))</f>
        <v>B4</v>
      </c>
      <c r="H866" s="31">
        <v>1</v>
      </c>
      <c r="I866" s="31">
        <v>5</v>
      </c>
      <c r="J866" s="32"/>
      <c r="K866" s="31" t="str">
        <f>IF(J866="","",IFERROR(INDEX('Team Rosters'!$C$6:$C$205,MATCH(J866,'Team Rosters'!$B$6:$B$205,0)),"CODE NOT FOUND"))</f>
        <v/>
      </c>
      <c r="L866" s="31" t="str">
        <f t="shared" si="39"/>
        <v/>
      </c>
      <c r="M866" s="31" t="str">
        <f>IF(OR(J866="",C866&lt;&gt;"League",L866&lt;&gt;"VALID"),"",COUNTIFS($J$6:J866,J866,$G$6:G866,G866,$C$6:C866,"League"))</f>
        <v/>
      </c>
      <c r="N866" s="31" t="str">
        <f t="shared" si="40"/>
        <v/>
      </c>
      <c r="O866" s="37" t="str">
        <f t="shared" si="41"/>
        <v/>
      </c>
    </row>
    <row r="867" spans="1:15" ht="15">
      <c r="A867" s="30">
        <v>181</v>
      </c>
      <c r="B867" s="31" t="s">
        <v>555</v>
      </c>
      <c r="C867" s="31" t="s">
        <v>550</v>
      </c>
      <c r="D867" s="31" t="s">
        <v>490</v>
      </c>
      <c r="E867" s="31" t="s">
        <v>491</v>
      </c>
      <c r="F867" s="31" t="str">
        <f>IF(H867=1,INDEX('Match Results'!$G$6:$G$185,MATCH(A867,'Match Results'!$A$6:$A$185,0)),INDEX('Match Results'!$H$6:$H$185,MATCH(A867,'Match Results'!$A$6:$A$185,0)))</f>
        <v>B3</v>
      </c>
      <c r="G867" s="31" t="str">
        <f>IF(H867=1,INDEX('Match Results'!$H$6:$H$185,MATCH(A867,'Match Results'!$A$6:$A$185,0)),INDEX('Match Results'!$G$6:$G$185,MATCH(A867,'Match Results'!$A$6:$A$185,0)))</f>
        <v>B4</v>
      </c>
      <c r="H867" s="31">
        <v>1</v>
      </c>
      <c r="I867" s="31">
        <v>6</v>
      </c>
      <c r="J867" s="32"/>
      <c r="K867" s="31" t="str">
        <f>IF(J867="","",IFERROR(INDEX('Team Rosters'!$C$6:$C$205,MATCH(J867,'Team Rosters'!$B$6:$B$205,0)),"CODE NOT FOUND"))</f>
        <v/>
      </c>
      <c r="L867" s="31" t="str">
        <f t="shared" si="39"/>
        <v/>
      </c>
      <c r="M867" s="31" t="str">
        <f>IF(OR(J867="",C867&lt;&gt;"League",L867&lt;&gt;"VALID"),"",COUNTIFS($J$6:J867,J867,$G$6:G867,G867,$C$6:C867,"League"))</f>
        <v/>
      </c>
      <c r="N867" s="31" t="str">
        <f t="shared" si="40"/>
        <v/>
      </c>
      <c r="O867" s="37" t="str">
        <f t="shared" si="41"/>
        <v/>
      </c>
    </row>
    <row r="868" spans="1:15" ht="15">
      <c r="A868" s="30">
        <v>181</v>
      </c>
      <c r="B868" s="31" t="s">
        <v>555</v>
      </c>
      <c r="C868" s="31" t="s">
        <v>550</v>
      </c>
      <c r="D868" s="31" t="s">
        <v>490</v>
      </c>
      <c r="E868" s="31" t="s">
        <v>491</v>
      </c>
      <c r="F868" s="31" t="str">
        <f>IF(H868=1,INDEX('Match Results'!$G$6:$G$185,MATCH(A868,'Match Results'!$A$6:$A$185,0)),INDEX('Match Results'!$H$6:$H$185,MATCH(A868,'Match Results'!$A$6:$A$185,0)))</f>
        <v>B3</v>
      </c>
      <c r="G868" s="31" t="str">
        <f>IF(H868=1,INDEX('Match Results'!$H$6:$H$185,MATCH(A868,'Match Results'!$A$6:$A$185,0)),INDEX('Match Results'!$G$6:$G$185,MATCH(A868,'Match Results'!$A$6:$A$185,0)))</f>
        <v>B4</v>
      </c>
      <c r="H868" s="31">
        <v>1</v>
      </c>
      <c r="I868" s="31">
        <v>7</v>
      </c>
      <c r="J868" s="32"/>
      <c r="K868" s="31" t="str">
        <f>IF(J868="","",IFERROR(INDEX('Team Rosters'!$C$6:$C$205,MATCH(J868,'Team Rosters'!$B$6:$B$205,0)),"CODE NOT FOUND"))</f>
        <v/>
      </c>
      <c r="L868" s="31" t="str">
        <f t="shared" si="39"/>
        <v/>
      </c>
      <c r="M868" s="31" t="str">
        <f>IF(OR(J868="",C868&lt;&gt;"League",L868&lt;&gt;"VALID"),"",COUNTIFS($J$6:J868,J868,$G$6:G868,G868,$C$6:C868,"League"))</f>
        <v/>
      </c>
      <c r="N868" s="31" t="str">
        <f t="shared" si="40"/>
        <v/>
      </c>
      <c r="O868" s="37" t="str">
        <f t="shared" si="41"/>
        <v/>
      </c>
    </row>
    <row r="869" spans="1:15" ht="15">
      <c r="A869" s="30">
        <v>181</v>
      </c>
      <c r="B869" s="31" t="s">
        <v>555</v>
      </c>
      <c r="C869" s="31" t="s">
        <v>550</v>
      </c>
      <c r="D869" s="31" t="s">
        <v>490</v>
      </c>
      <c r="E869" s="31" t="s">
        <v>491</v>
      </c>
      <c r="F869" s="31" t="str">
        <f>IF(H869=1,INDEX('Match Results'!$G$6:$G$185,MATCH(A869,'Match Results'!$A$6:$A$185,0)),INDEX('Match Results'!$H$6:$H$185,MATCH(A869,'Match Results'!$A$6:$A$185,0)))</f>
        <v>B4</v>
      </c>
      <c r="G869" s="31" t="str">
        <f>IF(H869=1,INDEX('Match Results'!$H$6:$H$185,MATCH(A869,'Match Results'!$A$6:$A$185,0)),INDEX('Match Results'!$G$6:$G$185,MATCH(A869,'Match Results'!$A$6:$A$185,0)))</f>
        <v>B3</v>
      </c>
      <c r="H869" s="31">
        <v>2</v>
      </c>
      <c r="I869" s="31">
        <v>8</v>
      </c>
      <c r="J869" s="32"/>
      <c r="K869" s="31" t="str">
        <f>IF(J869="","",IFERROR(INDEX('Team Rosters'!$C$6:$C$205,MATCH(J869,'Team Rosters'!$B$6:$B$205,0)),"CODE NOT FOUND"))</f>
        <v/>
      </c>
      <c r="L869" s="31" t="str">
        <f t="shared" si="39"/>
        <v/>
      </c>
      <c r="M869" s="31" t="str">
        <f>IF(OR(J869="",C869&lt;&gt;"League",L869&lt;&gt;"VALID"),"",COUNTIFS($J$6:J869,J869,$G$6:G869,G869,$C$6:C869,"League"))</f>
        <v/>
      </c>
      <c r="N869" s="31" t="str">
        <f t="shared" si="40"/>
        <v/>
      </c>
      <c r="O869" s="37" t="str">
        <f t="shared" si="41"/>
        <v/>
      </c>
    </row>
    <row r="870" spans="1:15" ht="15">
      <c r="A870" s="30">
        <v>181</v>
      </c>
      <c r="B870" s="31" t="s">
        <v>555</v>
      </c>
      <c r="C870" s="31" t="s">
        <v>550</v>
      </c>
      <c r="D870" s="31" t="s">
        <v>490</v>
      </c>
      <c r="E870" s="31" t="s">
        <v>491</v>
      </c>
      <c r="F870" s="31" t="str">
        <f>IF(H870=1,INDEX('Match Results'!$G$6:$G$185,MATCH(A870,'Match Results'!$A$6:$A$185,0)),INDEX('Match Results'!$H$6:$H$185,MATCH(A870,'Match Results'!$A$6:$A$185,0)))</f>
        <v>B4</v>
      </c>
      <c r="G870" s="31" t="str">
        <f>IF(H870=1,INDEX('Match Results'!$H$6:$H$185,MATCH(A870,'Match Results'!$A$6:$A$185,0)),INDEX('Match Results'!$G$6:$G$185,MATCH(A870,'Match Results'!$A$6:$A$185,0)))</f>
        <v>B3</v>
      </c>
      <c r="H870" s="31">
        <v>2</v>
      </c>
      <c r="I870" s="31">
        <v>9</v>
      </c>
      <c r="J870" s="32"/>
      <c r="K870" s="31" t="str">
        <f>IF(J870="","",IFERROR(INDEX('Team Rosters'!$C$6:$C$205,MATCH(J870,'Team Rosters'!$B$6:$B$205,0)),"CODE NOT FOUND"))</f>
        <v/>
      </c>
      <c r="L870" s="31" t="str">
        <f t="shared" si="39"/>
        <v/>
      </c>
      <c r="M870" s="31" t="str">
        <f>IF(OR(J870="",C870&lt;&gt;"League",L870&lt;&gt;"VALID"),"",COUNTIFS($J$6:J870,J870,$G$6:G870,G870,$C$6:C870,"League"))</f>
        <v/>
      </c>
      <c r="N870" s="31" t="str">
        <f t="shared" si="40"/>
        <v/>
      </c>
      <c r="O870" s="37" t="str">
        <f t="shared" si="41"/>
        <v/>
      </c>
    </row>
    <row r="871" spans="1:15" ht="15">
      <c r="A871" s="30">
        <v>181</v>
      </c>
      <c r="B871" s="31" t="s">
        <v>555</v>
      </c>
      <c r="C871" s="31" t="s">
        <v>550</v>
      </c>
      <c r="D871" s="31" t="s">
        <v>490</v>
      </c>
      <c r="E871" s="31" t="s">
        <v>491</v>
      </c>
      <c r="F871" s="31" t="str">
        <f>IF(H871=1,INDEX('Match Results'!$G$6:$G$185,MATCH(A871,'Match Results'!$A$6:$A$185,0)),INDEX('Match Results'!$H$6:$H$185,MATCH(A871,'Match Results'!$A$6:$A$185,0)))</f>
        <v>B4</v>
      </c>
      <c r="G871" s="31" t="str">
        <f>IF(H871=1,INDEX('Match Results'!$H$6:$H$185,MATCH(A871,'Match Results'!$A$6:$A$185,0)),INDEX('Match Results'!$G$6:$G$185,MATCH(A871,'Match Results'!$A$6:$A$185,0)))</f>
        <v>B3</v>
      </c>
      <c r="H871" s="31">
        <v>2</v>
      </c>
      <c r="I871" s="31">
        <v>10</v>
      </c>
      <c r="J871" s="32"/>
      <c r="K871" s="31" t="str">
        <f>IF(J871="","",IFERROR(INDEX('Team Rosters'!$C$6:$C$205,MATCH(J871,'Team Rosters'!$B$6:$B$205,0)),"CODE NOT FOUND"))</f>
        <v/>
      </c>
      <c r="L871" s="31" t="str">
        <f t="shared" si="39"/>
        <v/>
      </c>
      <c r="M871" s="31" t="str">
        <f>IF(OR(J871="",C871&lt;&gt;"League",L871&lt;&gt;"VALID"),"",COUNTIFS($J$6:J871,J871,$G$6:G871,G871,$C$6:C871,"League"))</f>
        <v/>
      </c>
      <c r="N871" s="31" t="str">
        <f t="shared" si="40"/>
        <v/>
      </c>
      <c r="O871" s="37" t="str">
        <f t="shared" si="41"/>
        <v/>
      </c>
    </row>
    <row r="872" spans="1:15" ht="15">
      <c r="A872" s="30">
        <v>181</v>
      </c>
      <c r="B872" s="31" t="s">
        <v>555</v>
      </c>
      <c r="C872" s="31" t="s">
        <v>550</v>
      </c>
      <c r="D872" s="31" t="s">
        <v>490</v>
      </c>
      <c r="E872" s="31" t="s">
        <v>491</v>
      </c>
      <c r="F872" s="31" t="str">
        <f>IF(H872=1,INDEX('Match Results'!$G$6:$G$185,MATCH(A872,'Match Results'!$A$6:$A$185,0)),INDEX('Match Results'!$H$6:$H$185,MATCH(A872,'Match Results'!$A$6:$A$185,0)))</f>
        <v>B4</v>
      </c>
      <c r="G872" s="31" t="str">
        <f>IF(H872=1,INDEX('Match Results'!$H$6:$H$185,MATCH(A872,'Match Results'!$A$6:$A$185,0)),INDEX('Match Results'!$G$6:$G$185,MATCH(A872,'Match Results'!$A$6:$A$185,0)))</f>
        <v>B3</v>
      </c>
      <c r="H872" s="31">
        <v>2</v>
      </c>
      <c r="I872" s="31">
        <v>11</v>
      </c>
      <c r="J872" s="32"/>
      <c r="K872" s="31" t="str">
        <f>IF(J872="","",IFERROR(INDEX('Team Rosters'!$C$6:$C$205,MATCH(J872,'Team Rosters'!$B$6:$B$205,0)),"CODE NOT FOUND"))</f>
        <v/>
      </c>
      <c r="L872" s="31" t="str">
        <f t="shared" si="39"/>
        <v/>
      </c>
      <c r="M872" s="31" t="str">
        <f>IF(OR(J872="",C872&lt;&gt;"League",L872&lt;&gt;"VALID"),"",COUNTIFS($J$6:J872,J872,$G$6:G872,G872,$C$6:C872,"League"))</f>
        <v/>
      </c>
      <c r="N872" s="31" t="str">
        <f t="shared" si="40"/>
        <v/>
      </c>
      <c r="O872" s="37" t="str">
        <f t="shared" si="41"/>
        <v/>
      </c>
    </row>
    <row r="873" spans="1:15" ht="15">
      <c r="A873" s="30">
        <v>181</v>
      </c>
      <c r="B873" s="31" t="s">
        <v>555</v>
      </c>
      <c r="C873" s="31" t="s">
        <v>550</v>
      </c>
      <c r="D873" s="31" t="s">
        <v>490</v>
      </c>
      <c r="E873" s="31" t="s">
        <v>491</v>
      </c>
      <c r="F873" s="31" t="str">
        <f>IF(H873=1,INDEX('Match Results'!$G$6:$G$185,MATCH(A873,'Match Results'!$A$6:$A$185,0)),INDEX('Match Results'!$H$6:$H$185,MATCH(A873,'Match Results'!$A$6:$A$185,0)))</f>
        <v>B4</v>
      </c>
      <c r="G873" s="31" t="str">
        <f>IF(H873=1,INDEX('Match Results'!$H$6:$H$185,MATCH(A873,'Match Results'!$A$6:$A$185,0)),INDEX('Match Results'!$G$6:$G$185,MATCH(A873,'Match Results'!$A$6:$A$185,0)))</f>
        <v>B3</v>
      </c>
      <c r="H873" s="31">
        <v>2</v>
      </c>
      <c r="I873" s="31">
        <v>12</v>
      </c>
      <c r="J873" s="32"/>
      <c r="K873" s="31" t="str">
        <f>IF(J873="","",IFERROR(INDEX('Team Rosters'!$C$6:$C$205,MATCH(J873,'Team Rosters'!$B$6:$B$205,0)),"CODE NOT FOUND"))</f>
        <v/>
      </c>
      <c r="L873" s="31" t="str">
        <f t="shared" si="39"/>
        <v/>
      </c>
      <c r="M873" s="31" t="str">
        <f>IF(OR(J873="",C873&lt;&gt;"League",L873&lt;&gt;"VALID"),"",COUNTIFS($J$6:J873,J873,$G$6:G873,G873,$C$6:C873,"League"))</f>
        <v/>
      </c>
      <c r="N873" s="31" t="str">
        <f t="shared" si="40"/>
        <v/>
      </c>
      <c r="O873" s="37" t="str">
        <f t="shared" si="41"/>
        <v/>
      </c>
    </row>
    <row r="874" spans="1:15" ht="15">
      <c r="A874" s="30">
        <v>181</v>
      </c>
      <c r="B874" s="31" t="s">
        <v>555</v>
      </c>
      <c r="C874" s="31" t="s">
        <v>550</v>
      </c>
      <c r="D874" s="31" t="s">
        <v>490</v>
      </c>
      <c r="E874" s="31" t="s">
        <v>491</v>
      </c>
      <c r="F874" s="31" t="str">
        <f>IF(H874=1,INDEX('Match Results'!$G$6:$G$185,MATCH(A874,'Match Results'!$A$6:$A$185,0)),INDEX('Match Results'!$H$6:$H$185,MATCH(A874,'Match Results'!$A$6:$A$185,0)))</f>
        <v>B4</v>
      </c>
      <c r="G874" s="31" t="str">
        <f>IF(H874=1,INDEX('Match Results'!$H$6:$H$185,MATCH(A874,'Match Results'!$A$6:$A$185,0)),INDEX('Match Results'!$G$6:$G$185,MATCH(A874,'Match Results'!$A$6:$A$185,0)))</f>
        <v>B3</v>
      </c>
      <c r="H874" s="31">
        <v>2</v>
      </c>
      <c r="I874" s="31">
        <v>13</v>
      </c>
      <c r="J874" s="32"/>
      <c r="K874" s="31" t="str">
        <f>IF(J874="","",IFERROR(INDEX('Team Rosters'!$C$6:$C$205,MATCH(J874,'Team Rosters'!$B$6:$B$205,0)),"CODE NOT FOUND"))</f>
        <v/>
      </c>
      <c r="L874" s="31" t="str">
        <f t="shared" si="39"/>
        <v/>
      </c>
      <c r="M874" s="31" t="str">
        <f>IF(OR(J874="",C874&lt;&gt;"League",L874&lt;&gt;"VALID"),"",COUNTIFS($J$6:J874,J874,$G$6:G874,G874,$C$6:C874,"League"))</f>
        <v/>
      </c>
      <c r="N874" s="31" t="str">
        <f t="shared" si="40"/>
        <v/>
      </c>
      <c r="O874" s="37" t="str">
        <f t="shared" si="41"/>
        <v/>
      </c>
    </row>
    <row r="875" spans="1:15" ht="15">
      <c r="A875" s="34">
        <v>181</v>
      </c>
      <c r="B875" s="35" t="s">
        <v>555</v>
      </c>
      <c r="C875" s="35" t="s">
        <v>550</v>
      </c>
      <c r="D875" s="35" t="s">
        <v>490</v>
      </c>
      <c r="E875" s="35" t="s">
        <v>491</v>
      </c>
      <c r="F875" s="35" t="str">
        <f>IF(H875=1,INDEX('Match Results'!$G$6:$G$185,MATCH(A875,'Match Results'!$A$6:$A$185,0)),INDEX('Match Results'!$H$6:$H$185,MATCH(A875,'Match Results'!$A$6:$A$185,0)))</f>
        <v>B4</v>
      </c>
      <c r="G875" s="35" t="str">
        <f>IF(H875=1,INDEX('Match Results'!$H$6:$H$185,MATCH(A875,'Match Results'!$A$6:$A$185,0)),INDEX('Match Results'!$G$6:$G$185,MATCH(A875,'Match Results'!$A$6:$A$185,0)))</f>
        <v>B3</v>
      </c>
      <c r="H875" s="35">
        <v>2</v>
      </c>
      <c r="I875" s="35">
        <v>14</v>
      </c>
      <c r="J875" s="36"/>
      <c r="K875" s="35" t="str">
        <f>IF(J875="","",IFERROR(INDEX('Team Rosters'!$C$6:$C$205,MATCH(J875,'Team Rosters'!$B$6:$B$205,0)),"CODE NOT FOUND"))</f>
        <v/>
      </c>
      <c r="L875" s="35" t="str">
        <f t="shared" si="39"/>
        <v/>
      </c>
      <c r="M875" s="35" t="str">
        <f>IF(OR(J875="",C875&lt;&gt;"League",L875&lt;&gt;"VALID"),"",COUNTIFS($J$6:J875,J875,$G$6:G875,G875,$C$6:C875,"League"))</f>
        <v/>
      </c>
      <c r="N875" s="35" t="str">
        <f t="shared" si="40"/>
        <v/>
      </c>
      <c r="O875" s="38" t="str">
        <f t="shared" si="41"/>
        <v/>
      </c>
    </row>
  </sheetData>
  <mergeCells count="2">
    <mergeCell ref="A1:O2"/>
    <mergeCell ref="A3:O3"/>
  </mergeCells>
  <conditionalFormatting sqref="N6:N875">
    <cfRule type="containsText" dxfId="4" priority="1" operator="containsText" text="VIOLATION"/>
    <cfRule type="containsText" dxfId="3" priority="2" operator="containsText" text="OK"/>
    <cfRule type="containsText" dxfId="2" priority="3" operator="containsText" text="CHECK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4"/>
  <sheetViews>
    <sheetView showGridLines="0" topLeftCell="A21" workbookViewId="0">
      <selection sqref="A1:J2"/>
    </sheetView>
  </sheetViews>
  <sheetFormatPr defaultRowHeight="14.25"/>
  <cols>
    <col min="1" max="1" width="11" customWidth="1"/>
    <col min="2" max="2" width="9" customWidth="1"/>
    <col min="3" max="3" width="20" customWidth="1"/>
    <col min="4" max="4" width="18" customWidth="1"/>
    <col min="5" max="5" width="19" customWidth="1"/>
    <col min="6" max="7" width="11" customWidth="1"/>
    <col min="8" max="8" width="31" customWidth="1"/>
    <col min="9" max="9" width="18" customWidth="1"/>
    <col min="10" max="10" width="14" customWidth="1"/>
  </cols>
  <sheetData>
    <row r="1" spans="1:10" ht="33.950000000000003" customHeight="1">
      <c r="A1" s="68" t="s">
        <v>516</v>
      </c>
      <c r="B1" s="68" t="s">
        <v>516</v>
      </c>
      <c r="C1" s="68" t="s">
        <v>516</v>
      </c>
      <c r="D1" s="68" t="s">
        <v>516</v>
      </c>
      <c r="E1" s="68" t="s">
        <v>516</v>
      </c>
      <c r="F1" s="68" t="s">
        <v>516</v>
      </c>
      <c r="G1" s="68" t="s">
        <v>516</v>
      </c>
      <c r="H1" s="68" t="s">
        <v>516</v>
      </c>
      <c r="I1" s="68" t="s">
        <v>516</v>
      </c>
      <c r="J1" s="68" t="s">
        <v>516</v>
      </c>
    </row>
    <row r="2" spans="1:10" ht="33.950000000000003" customHeight="1">
      <c r="A2" s="68" t="s">
        <v>516</v>
      </c>
      <c r="B2" s="68" t="s">
        <v>516</v>
      </c>
      <c r="C2" s="68" t="s">
        <v>516</v>
      </c>
      <c r="D2" s="68" t="s">
        <v>516</v>
      </c>
      <c r="E2" s="68" t="s">
        <v>516</v>
      </c>
      <c r="F2" s="68" t="s">
        <v>516</v>
      </c>
      <c r="G2" s="68" t="s">
        <v>516</v>
      </c>
      <c r="H2" s="68" t="s">
        <v>516</v>
      </c>
      <c r="I2" s="68" t="s">
        <v>516</v>
      </c>
      <c r="J2" s="68" t="s">
        <v>516</v>
      </c>
    </row>
    <row r="3" spans="1:10" ht="1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">
      <c r="A4" s="2" t="s">
        <v>456</v>
      </c>
      <c r="B4" s="39" t="s">
        <v>517</v>
      </c>
      <c r="C4" s="39" t="s">
        <v>457</v>
      </c>
      <c r="D4" s="39" t="s">
        <v>458</v>
      </c>
      <c r="E4" s="39" t="s">
        <v>459</v>
      </c>
      <c r="F4" s="39" t="s">
        <v>460</v>
      </c>
      <c r="G4" s="39" t="s">
        <v>518</v>
      </c>
      <c r="H4" s="39" t="s">
        <v>519</v>
      </c>
      <c r="I4" s="39" t="s">
        <v>520</v>
      </c>
      <c r="J4" s="3" t="s">
        <v>521</v>
      </c>
    </row>
    <row r="5" spans="1:10" ht="15">
      <c r="A5" s="40">
        <v>1</v>
      </c>
      <c r="B5" s="41">
        <v>1</v>
      </c>
      <c r="C5" s="41" t="s">
        <v>470</v>
      </c>
      <c r="D5" s="41" t="s">
        <v>471</v>
      </c>
      <c r="E5" s="41" t="s">
        <v>472</v>
      </c>
      <c r="F5" s="41" t="s">
        <v>473</v>
      </c>
      <c r="G5" s="41" t="s">
        <v>522</v>
      </c>
      <c r="H5" s="41" t="s">
        <v>474</v>
      </c>
      <c r="I5" s="41" t="s">
        <v>523</v>
      </c>
      <c r="J5" s="42" t="s">
        <v>524</v>
      </c>
    </row>
    <row r="6" spans="1:10" ht="15">
      <c r="A6" s="30">
        <v>2</v>
      </c>
      <c r="B6" s="31">
        <v>1</v>
      </c>
      <c r="C6" s="31" t="s">
        <v>470</v>
      </c>
      <c r="D6" s="31" t="s">
        <v>471</v>
      </c>
      <c r="E6" s="31" t="s">
        <v>475</v>
      </c>
      <c r="F6" s="31" t="s">
        <v>473</v>
      </c>
      <c r="G6" s="31" t="s">
        <v>522</v>
      </c>
      <c r="H6" s="31" t="s">
        <v>476</v>
      </c>
      <c r="I6" s="31" t="s">
        <v>525</v>
      </c>
      <c r="J6" s="43" t="s">
        <v>524</v>
      </c>
    </row>
    <row r="7" spans="1:10" ht="15">
      <c r="A7" s="30">
        <v>3</v>
      </c>
      <c r="B7" s="31">
        <v>1</v>
      </c>
      <c r="C7" s="31" t="s">
        <v>470</v>
      </c>
      <c r="D7" s="31" t="s">
        <v>471</v>
      </c>
      <c r="E7" s="31" t="s">
        <v>477</v>
      </c>
      <c r="F7" s="31" t="s">
        <v>473</v>
      </c>
      <c r="G7" s="31" t="s">
        <v>526</v>
      </c>
      <c r="H7" s="31" t="s">
        <v>478</v>
      </c>
      <c r="I7" s="31" t="s">
        <v>527</v>
      </c>
      <c r="J7" s="43" t="s">
        <v>524</v>
      </c>
    </row>
    <row r="8" spans="1:10" ht="15">
      <c r="A8" s="30">
        <v>4</v>
      </c>
      <c r="B8" s="31">
        <v>1</v>
      </c>
      <c r="C8" s="31" t="s">
        <v>470</v>
      </c>
      <c r="D8" s="31" t="s">
        <v>479</v>
      </c>
      <c r="E8" s="31" t="s">
        <v>475</v>
      </c>
      <c r="F8" s="31" t="s">
        <v>473</v>
      </c>
      <c r="G8" s="31" t="s">
        <v>522</v>
      </c>
      <c r="H8" s="31" t="s">
        <v>480</v>
      </c>
      <c r="I8" s="31" t="s">
        <v>528</v>
      </c>
      <c r="J8" s="43" t="s">
        <v>524</v>
      </c>
    </row>
    <row r="9" spans="1:10" ht="15">
      <c r="A9" s="30">
        <v>5</v>
      </c>
      <c r="B9" s="31">
        <v>1</v>
      </c>
      <c r="C9" s="31" t="s">
        <v>470</v>
      </c>
      <c r="D9" s="31" t="s">
        <v>479</v>
      </c>
      <c r="E9" s="31" t="s">
        <v>477</v>
      </c>
      <c r="F9" s="31" t="s">
        <v>473</v>
      </c>
      <c r="G9" s="31" t="s">
        <v>522</v>
      </c>
      <c r="H9" s="31" t="s">
        <v>481</v>
      </c>
      <c r="I9" s="31" t="s">
        <v>529</v>
      </c>
      <c r="J9" s="43" t="s">
        <v>524</v>
      </c>
    </row>
    <row r="10" spans="1:10" ht="15">
      <c r="A10" s="30">
        <v>6</v>
      </c>
      <c r="B10" s="31">
        <v>1</v>
      </c>
      <c r="C10" s="31" t="s">
        <v>470</v>
      </c>
      <c r="D10" s="31" t="s">
        <v>479</v>
      </c>
      <c r="E10" s="31" t="s">
        <v>472</v>
      </c>
      <c r="F10" s="31" t="s">
        <v>473</v>
      </c>
      <c r="G10" s="31" t="s">
        <v>526</v>
      </c>
      <c r="H10" s="31" t="s">
        <v>482</v>
      </c>
      <c r="I10" s="31" t="s">
        <v>530</v>
      </c>
      <c r="J10" s="43" t="s">
        <v>524</v>
      </c>
    </row>
    <row r="11" spans="1:10" ht="15">
      <c r="A11" s="30">
        <v>7</v>
      </c>
      <c r="B11" s="31">
        <v>1</v>
      </c>
      <c r="C11" s="31" t="s">
        <v>470</v>
      </c>
      <c r="D11" s="31" t="s">
        <v>483</v>
      </c>
      <c r="E11" s="31" t="s">
        <v>472</v>
      </c>
      <c r="F11" s="31" t="s">
        <v>473</v>
      </c>
      <c r="G11" s="31" t="s">
        <v>526</v>
      </c>
      <c r="H11" s="31" t="s">
        <v>484</v>
      </c>
      <c r="I11" s="31" t="s">
        <v>531</v>
      </c>
      <c r="J11" s="43" t="s">
        <v>524</v>
      </c>
    </row>
    <row r="12" spans="1:10" ht="15">
      <c r="A12" s="30">
        <v>8</v>
      </c>
      <c r="B12" s="31">
        <v>1</v>
      </c>
      <c r="C12" s="31" t="s">
        <v>470</v>
      </c>
      <c r="D12" s="31" t="s">
        <v>483</v>
      </c>
      <c r="E12" s="31" t="s">
        <v>477</v>
      </c>
      <c r="F12" s="31" t="s">
        <v>473</v>
      </c>
      <c r="G12" s="31" t="s">
        <v>526</v>
      </c>
      <c r="H12" s="31" t="s">
        <v>485</v>
      </c>
      <c r="I12" s="31" t="s">
        <v>532</v>
      </c>
      <c r="J12" s="43" t="s">
        <v>524</v>
      </c>
    </row>
    <row r="13" spans="1:10" ht="15">
      <c r="A13" s="30">
        <v>9</v>
      </c>
      <c r="B13" s="31">
        <v>1</v>
      </c>
      <c r="C13" s="31" t="s">
        <v>470</v>
      </c>
      <c r="D13" s="31" t="s">
        <v>486</v>
      </c>
      <c r="E13" s="31" t="s">
        <v>475</v>
      </c>
      <c r="F13" s="31" t="s">
        <v>473</v>
      </c>
      <c r="G13" s="31" t="s">
        <v>522</v>
      </c>
      <c r="H13" s="31" t="s">
        <v>487</v>
      </c>
      <c r="I13" s="31" t="s">
        <v>523</v>
      </c>
      <c r="J13" s="43" t="s">
        <v>524</v>
      </c>
    </row>
    <row r="14" spans="1:10" ht="15">
      <c r="A14" s="30">
        <v>10</v>
      </c>
      <c r="B14" s="31">
        <v>1</v>
      </c>
      <c r="C14" s="31" t="s">
        <v>470</v>
      </c>
      <c r="D14" s="31" t="s">
        <v>486</v>
      </c>
      <c r="E14" s="31" t="s">
        <v>472</v>
      </c>
      <c r="F14" s="31" t="s">
        <v>473</v>
      </c>
      <c r="G14" s="31" t="s">
        <v>522</v>
      </c>
      <c r="H14" s="31" t="s">
        <v>488</v>
      </c>
      <c r="I14" s="31" t="s">
        <v>525</v>
      </c>
      <c r="J14" s="43" t="s">
        <v>524</v>
      </c>
    </row>
    <row r="15" spans="1:10" ht="15">
      <c r="A15" s="30">
        <v>11</v>
      </c>
      <c r="B15" s="31">
        <v>1</v>
      </c>
      <c r="C15" s="31" t="s">
        <v>470</v>
      </c>
      <c r="D15" s="31" t="s">
        <v>486</v>
      </c>
      <c r="E15" s="31" t="s">
        <v>477</v>
      </c>
      <c r="F15" s="31" t="s">
        <v>473</v>
      </c>
      <c r="G15" s="31" t="s">
        <v>526</v>
      </c>
      <c r="H15" s="31" t="s">
        <v>489</v>
      </c>
      <c r="I15" s="31" t="s">
        <v>527</v>
      </c>
      <c r="J15" s="43" t="s">
        <v>524</v>
      </c>
    </row>
    <row r="16" spans="1:10" ht="15">
      <c r="A16" s="30">
        <v>12</v>
      </c>
      <c r="B16" s="31">
        <v>1</v>
      </c>
      <c r="C16" s="31" t="s">
        <v>470</v>
      </c>
      <c r="D16" s="31" t="s">
        <v>490</v>
      </c>
      <c r="E16" s="31" t="s">
        <v>491</v>
      </c>
      <c r="F16" s="31" t="s">
        <v>473</v>
      </c>
      <c r="G16" s="31" t="s">
        <v>526</v>
      </c>
      <c r="H16" s="31" t="s">
        <v>492</v>
      </c>
      <c r="I16" s="31" t="s">
        <v>533</v>
      </c>
      <c r="J16" s="43" t="s">
        <v>524</v>
      </c>
    </row>
    <row r="17" spans="1:10" ht="15">
      <c r="A17" s="30">
        <v>13</v>
      </c>
      <c r="B17" s="31">
        <v>2</v>
      </c>
      <c r="C17" s="31" t="s">
        <v>493</v>
      </c>
      <c r="D17" s="31" t="s">
        <v>471</v>
      </c>
      <c r="E17" s="31" t="s">
        <v>475</v>
      </c>
      <c r="F17" s="31" t="s">
        <v>473</v>
      </c>
      <c r="G17" s="31" t="s">
        <v>522</v>
      </c>
      <c r="H17" s="31" t="s">
        <v>474</v>
      </c>
      <c r="I17" s="31" t="s">
        <v>523</v>
      </c>
      <c r="J17" s="43" t="s">
        <v>524</v>
      </c>
    </row>
    <row r="18" spans="1:10" ht="15">
      <c r="A18" s="30">
        <v>14</v>
      </c>
      <c r="B18" s="31">
        <v>2</v>
      </c>
      <c r="C18" s="31" t="s">
        <v>493</v>
      </c>
      <c r="D18" s="31" t="s">
        <v>471</v>
      </c>
      <c r="E18" s="31" t="s">
        <v>477</v>
      </c>
      <c r="F18" s="31" t="s">
        <v>473</v>
      </c>
      <c r="G18" s="31" t="s">
        <v>522</v>
      </c>
      <c r="H18" s="31" t="s">
        <v>476</v>
      </c>
      <c r="I18" s="31" t="s">
        <v>525</v>
      </c>
      <c r="J18" s="43" t="s">
        <v>524</v>
      </c>
    </row>
    <row r="19" spans="1:10" ht="15">
      <c r="A19" s="30">
        <v>15</v>
      </c>
      <c r="B19" s="31">
        <v>2</v>
      </c>
      <c r="C19" s="31" t="s">
        <v>493</v>
      </c>
      <c r="D19" s="31" t="s">
        <v>471</v>
      </c>
      <c r="E19" s="31" t="s">
        <v>472</v>
      </c>
      <c r="F19" s="31" t="s">
        <v>473</v>
      </c>
      <c r="G19" s="31" t="s">
        <v>526</v>
      </c>
      <c r="H19" s="31" t="s">
        <v>492</v>
      </c>
      <c r="I19" s="31" t="s">
        <v>527</v>
      </c>
      <c r="J19" s="43" t="s">
        <v>524</v>
      </c>
    </row>
    <row r="20" spans="1:10" ht="15">
      <c r="A20" s="30">
        <v>16</v>
      </c>
      <c r="B20" s="31">
        <v>2</v>
      </c>
      <c r="C20" s="31" t="s">
        <v>493</v>
      </c>
      <c r="D20" s="31" t="s">
        <v>479</v>
      </c>
      <c r="E20" s="31" t="s">
        <v>477</v>
      </c>
      <c r="F20" s="31" t="s">
        <v>473</v>
      </c>
      <c r="G20" s="31" t="s">
        <v>522</v>
      </c>
      <c r="H20" s="31" t="s">
        <v>480</v>
      </c>
      <c r="I20" s="31" t="s">
        <v>528</v>
      </c>
      <c r="J20" s="43" t="s">
        <v>524</v>
      </c>
    </row>
    <row r="21" spans="1:10" ht="15">
      <c r="A21" s="30">
        <v>17</v>
      </c>
      <c r="B21" s="31">
        <v>2</v>
      </c>
      <c r="C21" s="31" t="s">
        <v>493</v>
      </c>
      <c r="D21" s="31" t="s">
        <v>479</v>
      </c>
      <c r="E21" s="31" t="s">
        <v>472</v>
      </c>
      <c r="F21" s="31" t="s">
        <v>473</v>
      </c>
      <c r="G21" s="31" t="s">
        <v>526</v>
      </c>
      <c r="H21" s="31" t="s">
        <v>478</v>
      </c>
      <c r="I21" s="31" t="s">
        <v>529</v>
      </c>
      <c r="J21" s="43" t="s">
        <v>524</v>
      </c>
    </row>
    <row r="22" spans="1:10" ht="15">
      <c r="A22" s="30">
        <v>18</v>
      </c>
      <c r="B22" s="31">
        <v>2</v>
      </c>
      <c r="C22" s="31" t="s">
        <v>493</v>
      </c>
      <c r="D22" s="31" t="s">
        <v>479</v>
      </c>
      <c r="E22" s="31" t="s">
        <v>475</v>
      </c>
      <c r="F22" s="31" t="s">
        <v>473</v>
      </c>
      <c r="G22" s="31" t="s">
        <v>526</v>
      </c>
      <c r="H22" s="31" t="s">
        <v>482</v>
      </c>
      <c r="I22" s="31" t="s">
        <v>530</v>
      </c>
      <c r="J22" s="43" t="s">
        <v>524</v>
      </c>
    </row>
    <row r="23" spans="1:10" ht="15">
      <c r="A23" s="30">
        <v>19</v>
      </c>
      <c r="B23" s="31">
        <v>2</v>
      </c>
      <c r="C23" s="31" t="s">
        <v>493</v>
      </c>
      <c r="D23" s="31" t="s">
        <v>483</v>
      </c>
      <c r="E23" s="31" t="s">
        <v>472</v>
      </c>
      <c r="F23" s="31" t="s">
        <v>473</v>
      </c>
      <c r="G23" s="31" t="s">
        <v>522</v>
      </c>
      <c r="H23" s="31" t="s">
        <v>481</v>
      </c>
      <c r="I23" s="31" t="s">
        <v>531</v>
      </c>
      <c r="J23" s="43" t="s">
        <v>524</v>
      </c>
    </row>
    <row r="24" spans="1:10" ht="15">
      <c r="A24" s="30">
        <v>20</v>
      </c>
      <c r="B24" s="31">
        <v>2</v>
      </c>
      <c r="C24" s="31" t="s">
        <v>493</v>
      </c>
      <c r="D24" s="31" t="s">
        <v>483</v>
      </c>
      <c r="E24" s="31" t="s">
        <v>477</v>
      </c>
      <c r="F24" s="31" t="s">
        <v>473</v>
      </c>
      <c r="G24" s="31" t="s">
        <v>526</v>
      </c>
      <c r="H24" s="31" t="s">
        <v>484</v>
      </c>
      <c r="I24" s="31" t="s">
        <v>532</v>
      </c>
      <c r="J24" s="43" t="s">
        <v>524</v>
      </c>
    </row>
    <row r="25" spans="1:10" ht="15">
      <c r="A25" s="30">
        <v>21</v>
      </c>
      <c r="B25" s="31">
        <v>2</v>
      </c>
      <c r="C25" s="31" t="s">
        <v>493</v>
      </c>
      <c r="D25" s="31" t="s">
        <v>486</v>
      </c>
      <c r="E25" s="31" t="s">
        <v>477</v>
      </c>
      <c r="F25" s="31" t="s">
        <v>473</v>
      </c>
      <c r="G25" s="31" t="s">
        <v>522</v>
      </c>
      <c r="H25" s="31" t="s">
        <v>487</v>
      </c>
      <c r="I25" s="31" t="s">
        <v>523</v>
      </c>
      <c r="J25" s="43" t="s">
        <v>524</v>
      </c>
    </row>
    <row r="26" spans="1:10" ht="15">
      <c r="A26" s="30">
        <v>22</v>
      </c>
      <c r="B26" s="31">
        <v>2</v>
      </c>
      <c r="C26" s="31" t="s">
        <v>493</v>
      </c>
      <c r="D26" s="31" t="s">
        <v>486</v>
      </c>
      <c r="E26" s="31" t="s">
        <v>475</v>
      </c>
      <c r="F26" s="31" t="s">
        <v>473</v>
      </c>
      <c r="G26" s="31" t="s">
        <v>522</v>
      </c>
      <c r="H26" s="31" t="s">
        <v>488</v>
      </c>
      <c r="I26" s="31" t="s">
        <v>525</v>
      </c>
      <c r="J26" s="43" t="s">
        <v>524</v>
      </c>
    </row>
    <row r="27" spans="1:10" ht="15">
      <c r="A27" s="30">
        <v>23</v>
      </c>
      <c r="B27" s="31">
        <v>2</v>
      </c>
      <c r="C27" s="31" t="s">
        <v>493</v>
      </c>
      <c r="D27" s="31" t="s">
        <v>486</v>
      </c>
      <c r="E27" s="31" t="s">
        <v>472</v>
      </c>
      <c r="F27" s="31" t="s">
        <v>473</v>
      </c>
      <c r="G27" s="31" t="s">
        <v>526</v>
      </c>
      <c r="H27" s="31" t="s">
        <v>485</v>
      </c>
      <c r="I27" s="31" t="s">
        <v>527</v>
      </c>
      <c r="J27" s="43" t="s">
        <v>524</v>
      </c>
    </row>
    <row r="28" spans="1:10" ht="15">
      <c r="A28" s="30">
        <v>24</v>
      </c>
      <c r="B28" s="31">
        <v>2</v>
      </c>
      <c r="C28" s="31" t="s">
        <v>493</v>
      </c>
      <c r="D28" s="31" t="s">
        <v>490</v>
      </c>
      <c r="E28" s="31" t="s">
        <v>491</v>
      </c>
      <c r="F28" s="31" t="s">
        <v>473</v>
      </c>
      <c r="G28" s="31" t="s">
        <v>526</v>
      </c>
      <c r="H28" s="31" t="s">
        <v>489</v>
      </c>
      <c r="I28" s="31" t="s">
        <v>533</v>
      </c>
      <c r="J28" s="43" t="s">
        <v>524</v>
      </c>
    </row>
    <row r="29" spans="1:10" ht="15">
      <c r="A29" s="30">
        <v>25</v>
      </c>
      <c r="B29" s="31">
        <v>3</v>
      </c>
      <c r="C29" s="31" t="s">
        <v>494</v>
      </c>
      <c r="D29" s="31" t="s">
        <v>471</v>
      </c>
      <c r="E29" s="31" t="s">
        <v>477</v>
      </c>
      <c r="F29" s="31" t="s">
        <v>473</v>
      </c>
      <c r="G29" s="31" t="s">
        <v>522</v>
      </c>
      <c r="H29" s="31" t="s">
        <v>474</v>
      </c>
      <c r="I29" s="31" t="s">
        <v>523</v>
      </c>
      <c r="J29" s="43" t="s">
        <v>524</v>
      </c>
    </row>
    <row r="30" spans="1:10" ht="15">
      <c r="A30" s="30">
        <v>26</v>
      </c>
      <c r="B30" s="31">
        <v>3</v>
      </c>
      <c r="C30" s="31" t="s">
        <v>494</v>
      </c>
      <c r="D30" s="31" t="s">
        <v>471</v>
      </c>
      <c r="E30" s="31" t="s">
        <v>475</v>
      </c>
      <c r="F30" s="31" t="s">
        <v>473</v>
      </c>
      <c r="G30" s="31" t="s">
        <v>526</v>
      </c>
      <c r="H30" s="31" t="s">
        <v>492</v>
      </c>
      <c r="I30" s="31" t="s">
        <v>525</v>
      </c>
      <c r="J30" s="43" t="s">
        <v>524</v>
      </c>
    </row>
    <row r="31" spans="1:10" ht="15">
      <c r="A31" s="30">
        <v>27</v>
      </c>
      <c r="B31" s="31">
        <v>3</v>
      </c>
      <c r="C31" s="31" t="s">
        <v>494</v>
      </c>
      <c r="D31" s="31" t="s">
        <v>471</v>
      </c>
      <c r="E31" s="31" t="s">
        <v>472</v>
      </c>
      <c r="F31" s="31" t="s">
        <v>473</v>
      </c>
      <c r="G31" s="31" t="s">
        <v>526</v>
      </c>
      <c r="H31" s="31" t="s">
        <v>489</v>
      </c>
      <c r="I31" s="31" t="s">
        <v>527</v>
      </c>
      <c r="J31" s="43" t="s">
        <v>524</v>
      </c>
    </row>
    <row r="32" spans="1:10" ht="15">
      <c r="A32" s="30">
        <v>28</v>
      </c>
      <c r="B32" s="31">
        <v>3</v>
      </c>
      <c r="C32" s="31" t="s">
        <v>494</v>
      </c>
      <c r="D32" s="31" t="s">
        <v>479</v>
      </c>
      <c r="E32" s="31" t="s">
        <v>472</v>
      </c>
      <c r="F32" s="31" t="s">
        <v>473</v>
      </c>
      <c r="G32" s="31" t="s">
        <v>522</v>
      </c>
      <c r="H32" s="31" t="s">
        <v>476</v>
      </c>
      <c r="I32" s="31" t="s">
        <v>528</v>
      </c>
      <c r="J32" s="43" t="s">
        <v>524</v>
      </c>
    </row>
    <row r="33" spans="1:10" ht="15">
      <c r="A33" s="30">
        <v>29</v>
      </c>
      <c r="B33" s="31">
        <v>3</v>
      </c>
      <c r="C33" s="31" t="s">
        <v>494</v>
      </c>
      <c r="D33" s="31" t="s">
        <v>479</v>
      </c>
      <c r="E33" s="31" t="s">
        <v>475</v>
      </c>
      <c r="F33" s="31" t="s">
        <v>473</v>
      </c>
      <c r="G33" s="31" t="s">
        <v>526</v>
      </c>
      <c r="H33" s="31" t="s">
        <v>478</v>
      </c>
      <c r="I33" s="31" t="s">
        <v>529</v>
      </c>
      <c r="J33" s="43" t="s">
        <v>524</v>
      </c>
    </row>
    <row r="34" spans="1:10" ht="15">
      <c r="A34" s="30">
        <v>30</v>
      </c>
      <c r="B34" s="31">
        <v>3</v>
      </c>
      <c r="C34" s="31" t="s">
        <v>494</v>
      </c>
      <c r="D34" s="31" t="s">
        <v>479</v>
      </c>
      <c r="E34" s="31" t="s">
        <v>477</v>
      </c>
      <c r="F34" s="31" t="s">
        <v>473</v>
      </c>
      <c r="G34" s="31" t="s">
        <v>526</v>
      </c>
      <c r="H34" s="31" t="s">
        <v>482</v>
      </c>
      <c r="I34" s="31" t="s">
        <v>530</v>
      </c>
      <c r="J34" s="43" t="s">
        <v>524</v>
      </c>
    </row>
    <row r="35" spans="1:10" ht="15">
      <c r="A35" s="30">
        <v>31</v>
      </c>
      <c r="B35" s="31">
        <v>3</v>
      </c>
      <c r="C35" s="31" t="s">
        <v>494</v>
      </c>
      <c r="D35" s="31" t="s">
        <v>483</v>
      </c>
      <c r="E35" s="31" t="s">
        <v>472</v>
      </c>
      <c r="F35" s="31" t="s">
        <v>473</v>
      </c>
      <c r="G35" s="31" t="s">
        <v>522</v>
      </c>
      <c r="H35" s="31" t="s">
        <v>480</v>
      </c>
      <c r="I35" s="31" t="s">
        <v>531</v>
      </c>
      <c r="J35" s="43" t="s">
        <v>524</v>
      </c>
    </row>
    <row r="36" spans="1:10" ht="15">
      <c r="A36" s="30">
        <v>32</v>
      </c>
      <c r="B36" s="31">
        <v>3</v>
      </c>
      <c r="C36" s="31" t="s">
        <v>494</v>
      </c>
      <c r="D36" s="31" t="s">
        <v>483</v>
      </c>
      <c r="E36" s="31" t="s">
        <v>477</v>
      </c>
      <c r="F36" s="31" t="s">
        <v>473</v>
      </c>
      <c r="G36" s="31" t="s">
        <v>522</v>
      </c>
      <c r="H36" s="31" t="s">
        <v>481</v>
      </c>
      <c r="I36" s="31" t="s">
        <v>532</v>
      </c>
      <c r="J36" s="43" t="s">
        <v>524</v>
      </c>
    </row>
    <row r="37" spans="1:10" ht="15">
      <c r="A37" s="30">
        <v>33</v>
      </c>
      <c r="B37" s="31">
        <v>3</v>
      </c>
      <c r="C37" s="31" t="s">
        <v>494</v>
      </c>
      <c r="D37" s="31" t="s">
        <v>486</v>
      </c>
      <c r="E37" s="31" t="s">
        <v>477</v>
      </c>
      <c r="F37" s="31" t="s">
        <v>473</v>
      </c>
      <c r="G37" s="31" t="s">
        <v>522</v>
      </c>
      <c r="H37" s="31" t="s">
        <v>488</v>
      </c>
      <c r="I37" s="31" t="s">
        <v>523</v>
      </c>
      <c r="J37" s="43" t="s">
        <v>524</v>
      </c>
    </row>
    <row r="38" spans="1:10" ht="15">
      <c r="A38" s="30">
        <v>34</v>
      </c>
      <c r="B38" s="31">
        <v>3</v>
      </c>
      <c r="C38" s="31" t="s">
        <v>494</v>
      </c>
      <c r="D38" s="31" t="s">
        <v>486</v>
      </c>
      <c r="E38" s="31" t="s">
        <v>472</v>
      </c>
      <c r="F38" s="31" t="s">
        <v>473</v>
      </c>
      <c r="G38" s="31" t="s">
        <v>526</v>
      </c>
      <c r="H38" s="31" t="s">
        <v>484</v>
      </c>
      <c r="I38" s="31" t="s">
        <v>525</v>
      </c>
      <c r="J38" s="43" t="s">
        <v>524</v>
      </c>
    </row>
    <row r="39" spans="1:10" ht="15">
      <c r="A39" s="30">
        <v>35</v>
      </c>
      <c r="B39" s="31">
        <v>3</v>
      </c>
      <c r="C39" s="31" t="s">
        <v>494</v>
      </c>
      <c r="D39" s="31" t="s">
        <v>486</v>
      </c>
      <c r="E39" s="31" t="s">
        <v>475</v>
      </c>
      <c r="F39" s="31" t="s">
        <v>473</v>
      </c>
      <c r="G39" s="31" t="s">
        <v>526</v>
      </c>
      <c r="H39" s="31" t="s">
        <v>485</v>
      </c>
      <c r="I39" s="31" t="s">
        <v>527</v>
      </c>
      <c r="J39" s="43" t="s">
        <v>524</v>
      </c>
    </row>
    <row r="40" spans="1:10" ht="15">
      <c r="A40" s="30">
        <v>36</v>
      </c>
      <c r="B40" s="31">
        <v>3</v>
      </c>
      <c r="C40" s="31" t="s">
        <v>494</v>
      </c>
      <c r="D40" s="31" t="s">
        <v>490</v>
      </c>
      <c r="E40" s="31" t="s">
        <v>491</v>
      </c>
      <c r="F40" s="31" t="s">
        <v>473</v>
      </c>
      <c r="G40" s="31" t="s">
        <v>522</v>
      </c>
      <c r="H40" s="31" t="s">
        <v>487</v>
      </c>
      <c r="I40" s="31" t="s">
        <v>533</v>
      </c>
      <c r="J40" s="43" t="s">
        <v>524</v>
      </c>
    </row>
    <row r="41" spans="1:10" ht="15">
      <c r="A41" s="30">
        <v>37</v>
      </c>
      <c r="B41" s="31">
        <v>4</v>
      </c>
      <c r="C41" s="31" t="s">
        <v>495</v>
      </c>
      <c r="D41" s="31" t="s">
        <v>471</v>
      </c>
      <c r="E41" s="31" t="s">
        <v>472</v>
      </c>
      <c r="F41" s="31" t="s">
        <v>473</v>
      </c>
      <c r="G41" s="31" t="s">
        <v>522</v>
      </c>
      <c r="H41" s="31" t="s">
        <v>487</v>
      </c>
      <c r="I41" s="31" t="s">
        <v>523</v>
      </c>
      <c r="J41" s="43" t="s">
        <v>524</v>
      </c>
    </row>
    <row r="42" spans="1:10" ht="15">
      <c r="A42" s="30">
        <v>38</v>
      </c>
      <c r="B42" s="31">
        <v>4</v>
      </c>
      <c r="C42" s="31" t="s">
        <v>495</v>
      </c>
      <c r="D42" s="31" t="s">
        <v>471</v>
      </c>
      <c r="E42" s="31" t="s">
        <v>477</v>
      </c>
      <c r="F42" s="31" t="s">
        <v>473</v>
      </c>
      <c r="G42" s="31" t="s">
        <v>526</v>
      </c>
      <c r="H42" s="31" t="s">
        <v>492</v>
      </c>
      <c r="I42" s="31" t="s">
        <v>525</v>
      </c>
      <c r="J42" s="43" t="s">
        <v>524</v>
      </c>
    </row>
    <row r="43" spans="1:10" ht="15">
      <c r="A43" s="30">
        <v>39</v>
      </c>
      <c r="B43" s="31">
        <v>4</v>
      </c>
      <c r="C43" s="31" t="s">
        <v>495</v>
      </c>
      <c r="D43" s="31" t="s">
        <v>471</v>
      </c>
      <c r="E43" s="31" t="s">
        <v>475</v>
      </c>
      <c r="F43" s="31" t="s">
        <v>473</v>
      </c>
      <c r="G43" s="31" t="s">
        <v>526</v>
      </c>
      <c r="H43" s="31" t="s">
        <v>489</v>
      </c>
      <c r="I43" s="31" t="s">
        <v>527</v>
      </c>
      <c r="J43" s="43" t="s">
        <v>524</v>
      </c>
    </row>
    <row r="44" spans="1:10" ht="15">
      <c r="A44" s="30">
        <v>40</v>
      </c>
      <c r="B44" s="31">
        <v>4</v>
      </c>
      <c r="C44" s="31" t="s">
        <v>495</v>
      </c>
      <c r="D44" s="31" t="s">
        <v>479</v>
      </c>
      <c r="E44" s="31" t="s">
        <v>472</v>
      </c>
      <c r="F44" s="31" t="s">
        <v>473</v>
      </c>
      <c r="G44" s="31" t="s">
        <v>522</v>
      </c>
      <c r="H44" s="31" t="s">
        <v>474</v>
      </c>
      <c r="I44" s="31" t="s">
        <v>528</v>
      </c>
      <c r="J44" s="43" t="s">
        <v>524</v>
      </c>
    </row>
    <row r="45" spans="1:10" ht="15">
      <c r="A45" s="30">
        <v>41</v>
      </c>
      <c r="B45" s="31">
        <v>4</v>
      </c>
      <c r="C45" s="31" t="s">
        <v>495</v>
      </c>
      <c r="D45" s="31" t="s">
        <v>479</v>
      </c>
      <c r="E45" s="31" t="s">
        <v>475</v>
      </c>
      <c r="F45" s="31" t="s">
        <v>473</v>
      </c>
      <c r="G45" s="31" t="s">
        <v>522</v>
      </c>
      <c r="H45" s="31" t="s">
        <v>476</v>
      </c>
      <c r="I45" s="31" t="s">
        <v>529</v>
      </c>
      <c r="J45" s="43" t="s">
        <v>524</v>
      </c>
    </row>
    <row r="46" spans="1:10" ht="15">
      <c r="A46" s="30">
        <v>42</v>
      </c>
      <c r="B46" s="31">
        <v>4</v>
      </c>
      <c r="C46" s="31" t="s">
        <v>495</v>
      </c>
      <c r="D46" s="31" t="s">
        <v>479</v>
      </c>
      <c r="E46" s="31" t="s">
        <v>477</v>
      </c>
      <c r="F46" s="31" t="s">
        <v>473</v>
      </c>
      <c r="G46" s="31" t="s">
        <v>526</v>
      </c>
      <c r="H46" s="31" t="s">
        <v>478</v>
      </c>
      <c r="I46" s="31" t="s">
        <v>530</v>
      </c>
      <c r="J46" s="43" t="s">
        <v>524</v>
      </c>
    </row>
    <row r="47" spans="1:10" ht="15">
      <c r="A47" s="30">
        <v>43</v>
      </c>
      <c r="B47" s="31">
        <v>4</v>
      </c>
      <c r="C47" s="31" t="s">
        <v>495</v>
      </c>
      <c r="D47" s="31" t="s">
        <v>483</v>
      </c>
      <c r="E47" s="31" t="s">
        <v>477</v>
      </c>
      <c r="F47" s="31" t="s">
        <v>473</v>
      </c>
      <c r="G47" s="31" t="s">
        <v>522</v>
      </c>
      <c r="H47" s="31" t="s">
        <v>480</v>
      </c>
      <c r="I47" s="31" t="s">
        <v>531</v>
      </c>
      <c r="J47" s="43" t="s">
        <v>524</v>
      </c>
    </row>
    <row r="48" spans="1:10" ht="15">
      <c r="A48" s="30">
        <v>44</v>
      </c>
      <c r="B48" s="31">
        <v>4</v>
      </c>
      <c r="C48" s="31" t="s">
        <v>495</v>
      </c>
      <c r="D48" s="31" t="s">
        <v>483</v>
      </c>
      <c r="E48" s="31" t="s">
        <v>472</v>
      </c>
      <c r="F48" s="31" t="s">
        <v>473</v>
      </c>
      <c r="G48" s="31" t="s">
        <v>526</v>
      </c>
      <c r="H48" s="31" t="s">
        <v>482</v>
      </c>
      <c r="I48" s="31" t="s">
        <v>532</v>
      </c>
      <c r="J48" s="43" t="s">
        <v>524</v>
      </c>
    </row>
    <row r="49" spans="1:10" ht="15">
      <c r="A49" s="30">
        <v>45</v>
      </c>
      <c r="B49" s="31">
        <v>4</v>
      </c>
      <c r="C49" s="31" t="s">
        <v>495</v>
      </c>
      <c r="D49" s="31" t="s">
        <v>486</v>
      </c>
      <c r="E49" s="31" t="s">
        <v>472</v>
      </c>
      <c r="F49" s="31" t="s">
        <v>473</v>
      </c>
      <c r="G49" s="31" t="s">
        <v>522</v>
      </c>
      <c r="H49" s="31" t="s">
        <v>481</v>
      </c>
      <c r="I49" s="31" t="s">
        <v>523</v>
      </c>
      <c r="J49" s="43" t="s">
        <v>524</v>
      </c>
    </row>
    <row r="50" spans="1:10" ht="15">
      <c r="A50" s="30">
        <v>46</v>
      </c>
      <c r="B50" s="31">
        <v>4</v>
      </c>
      <c r="C50" s="31" t="s">
        <v>495</v>
      </c>
      <c r="D50" s="31" t="s">
        <v>486</v>
      </c>
      <c r="E50" s="31" t="s">
        <v>475</v>
      </c>
      <c r="F50" s="31" t="s">
        <v>473</v>
      </c>
      <c r="G50" s="31" t="s">
        <v>526</v>
      </c>
      <c r="H50" s="31" t="s">
        <v>484</v>
      </c>
      <c r="I50" s="31" t="s">
        <v>525</v>
      </c>
      <c r="J50" s="43" t="s">
        <v>524</v>
      </c>
    </row>
    <row r="51" spans="1:10" ht="15">
      <c r="A51" s="30">
        <v>47</v>
      </c>
      <c r="B51" s="31">
        <v>4</v>
      </c>
      <c r="C51" s="31" t="s">
        <v>495</v>
      </c>
      <c r="D51" s="31" t="s">
        <v>486</v>
      </c>
      <c r="E51" s="31" t="s">
        <v>477</v>
      </c>
      <c r="F51" s="31" t="s">
        <v>473</v>
      </c>
      <c r="G51" s="31" t="s">
        <v>526</v>
      </c>
      <c r="H51" s="31" t="s">
        <v>485</v>
      </c>
      <c r="I51" s="31" t="s">
        <v>527</v>
      </c>
      <c r="J51" s="43" t="s">
        <v>524</v>
      </c>
    </row>
    <row r="52" spans="1:10" ht="15">
      <c r="A52" s="30">
        <v>48</v>
      </c>
      <c r="B52" s="31">
        <v>4</v>
      </c>
      <c r="C52" s="31" t="s">
        <v>495</v>
      </c>
      <c r="D52" s="31" t="s">
        <v>490</v>
      </c>
      <c r="E52" s="31" t="s">
        <v>491</v>
      </c>
      <c r="F52" s="31" t="s">
        <v>473</v>
      </c>
      <c r="G52" s="31" t="s">
        <v>522</v>
      </c>
      <c r="H52" s="31" t="s">
        <v>488</v>
      </c>
      <c r="I52" s="31" t="s">
        <v>533</v>
      </c>
      <c r="J52" s="43" t="s">
        <v>524</v>
      </c>
    </row>
    <row r="53" spans="1:10" ht="15">
      <c r="A53" s="30">
        <v>49</v>
      </c>
      <c r="B53" s="31">
        <v>5</v>
      </c>
      <c r="C53" s="31" t="s">
        <v>496</v>
      </c>
      <c r="D53" s="31" t="s">
        <v>471</v>
      </c>
      <c r="E53" s="31" t="s">
        <v>475</v>
      </c>
      <c r="F53" s="31" t="s">
        <v>473</v>
      </c>
      <c r="G53" s="31" t="s">
        <v>522</v>
      </c>
      <c r="H53" s="31" t="s">
        <v>487</v>
      </c>
      <c r="I53" s="31" t="s">
        <v>523</v>
      </c>
      <c r="J53" s="43" t="s">
        <v>524</v>
      </c>
    </row>
    <row r="54" spans="1:10" ht="15">
      <c r="A54" s="30">
        <v>50</v>
      </c>
      <c r="B54" s="31">
        <v>5</v>
      </c>
      <c r="C54" s="31" t="s">
        <v>496</v>
      </c>
      <c r="D54" s="31" t="s">
        <v>471</v>
      </c>
      <c r="E54" s="31" t="s">
        <v>472</v>
      </c>
      <c r="F54" s="31" t="s">
        <v>473</v>
      </c>
      <c r="G54" s="31" t="s">
        <v>522</v>
      </c>
      <c r="H54" s="31" t="s">
        <v>488</v>
      </c>
      <c r="I54" s="31" t="s">
        <v>525</v>
      </c>
      <c r="J54" s="43" t="s">
        <v>524</v>
      </c>
    </row>
    <row r="55" spans="1:10" ht="15">
      <c r="A55" s="30">
        <v>51</v>
      </c>
      <c r="B55" s="31">
        <v>5</v>
      </c>
      <c r="C55" s="31" t="s">
        <v>496</v>
      </c>
      <c r="D55" s="31" t="s">
        <v>471</v>
      </c>
      <c r="E55" s="31" t="s">
        <v>477</v>
      </c>
      <c r="F55" s="31" t="s">
        <v>473</v>
      </c>
      <c r="G55" s="31" t="s">
        <v>526</v>
      </c>
      <c r="H55" s="31" t="s">
        <v>489</v>
      </c>
      <c r="I55" s="31" t="s">
        <v>527</v>
      </c>
      <c r="J55" s="43" t="s">
        <v>524</v>
      </c>
    </row>
    <row r="56" spans="1:10" ht="15">
      <c r="A56" s="30">
        <v>52</v>
      </c>
      <c r="B56" s="31">
        <v>5</v>
      </c>
      <c r="C56" s="31" t="s">
        <v>496</v>
      </c>
      <c r="D56" s="31" t="s">
        <v>479</v>
      </c>
      <c r="E56" s="31" t="s">
        <v>475</v>
      </c>
      <c r="F56" s="31" t="s">
        <v>473</v>
      </c>
      <c r="G56" s="31" t="s">
        <v>522</v>
      </c>
      <c r="H56" s="31" t="s">
        <v>474</v>
      </c>
      <c r="I56" s="31" t="s">
        <v>528</v>
      </c>
      <c r="J56" s="43" t="s">
        <v>524</v>
      </c>
    </row>
    <row r="57" spans="1:10" ht="15">
      <c r="A57" s="30">
        <v>53</v>
      </c>
      <c r="B57" s="31">
        <v>5</v>
      </c>
      <c r="C57" s="31" t="s">
        <v>496</v>
      </c>
      <c r="D57" s="31" t="s">
        <v>479</v>
      </c>
      <c r="E57" s="31" t="s">
        <v>477</v>
      </c>
      <c r="F57" s="31" t="s">
        <v>473</v>
      </c>
      <c r="G57" s="31" t="s">
        <v>522</v>
      </c>
      <c r="H57" s="31" t="s">
        <v>476</v>
      </c>
      <c r="I57" s="31" t="s">
        <v>529</v>
      </c>
      <c r="J57" s="43" t="s">
        <v>524</v>
      </c>
    </row>
    <row r="58" spans="1:10" ht="15">
      <c r="A58" s="30">
        <v>54</v>
      </c>
      <c r="B58" s="31">
        <v>5</v>
      </c>
      <c r="C58" s="31" t="s">
        <v>496</v>
      </c>
      <c r="D58" s="31" t="s">
        <v>479</v>
      </c>
      <c r="E58" s="31" t="s">
        <v>472</v>
      </c>
      <c r="F58" s="31" t="s">
        <v>473</v>
      </c>
      <c r="G58" s="31" t="s">
        <v>526</v>
      </c>
      <c r="H58" s="31" t="s">
        <v>492</v>
      </c>
      <c r="I58" s="31" t="s">
        <v>530</v>
      </c>
      <c r="J58" s="43" t="s">
        <v>524</v>
      </c>
    </row>
    <row r="59" spans="1:10" ht="15">
      <c r="A59" s="30">
        <v>55</v>
      </c>
      <c r="B59" s="31">
        <v>5</v>
      </c>
      <c r="C59" s="31" t="s">
        <v>496</v>
      </c>
      <c r="D59" s="31" t="s">
        <v>483</v>
      </c>
      <c r="E59" s="31" t="s">
        <v>472</v>
      </c>
      <c r="F59" s="31" t="s">
        <v>473</v>
      </c>
      <c r="G59" s="31" t="s">
        <v>526</v>
      </c>
      <c r="H59" s="31" t="s">
        <v>478</v>
      </c>
      <c r="I59" s="31" t="s">
        <v>531</v>
      </c>
      <c r="J59" s="43" t="s">
        <v>524</v>
      </c>
    </row>
    <row r="60" spans="1:10" ht="15">
      <c r="A60" s="30">
        <v>56</v>
      </c>
      <c r="B60" s="31">
        <v>5</v>
      </c>
      <c r="C60" s="31" t="s">
        <v>496</v>
      </c>
      <c r="D60" s="31" t="s">
        <v>483</v>
      </c>
      <c r="E60" s="31" t="s">
        <v>477</v>
      </c>
      <c r="F60" s="31" t="s">
        <v>473</v>
      </c>
      <c r="G60" s="31" t="s">
        <v>526</v>
      </c>
      <c r="H60" s="31" t="s">
        <v>482</v>
      </c>
      <c r="I60" s="31" t="s">
        <v>532</v>
      </c>
      <c r="J60" s="43" t="s">
        <v>524</v>
      </c>
    </row>
    <row r="61" spans="1:10" ht="15">
      <c r="A61" s="30">
        <v>57</v>
      </c>
      <c r="B61" s="31">
        <v>5</v>
      </c>
      <c r="C61" s="31" t="s">
        <v>496</v>
      </c>
      <c r="D61" s="31" t="s">
        <v>486</v>
      </c>
      <c r="E61" s="31" t="s">
        <v>472</v>
      </c>
      <c r="F61" s="31" t="s">
        <v>473</v>
      </c>
      <c r="G61" s="31" t="s">
        <v>522</v>
      </c>
      <c r="H61" s="31" t="s">
        <v>480</v>
      </c>
      <c r="I61" s="31" t="s">
        <v>523</v>
      </c>
      <c r="J61" s="43" t="s">
        <v>524</v>
      </c>
    </row>
    <row r="62" spans="1:10" ht="15">
      <c r="A62" s="30">
        <v>58</v>
      </c>
      <c r="B62" s="31">
        <v>5</v>
      </c>
      <c r="C62" s="31" t="s">
        <v>496</v>
      </c>
      <c r="D62" s="31" t="s">
        <v>486</v>
      </c>
      <c r="E62" s="31" t="s">
        <v>475</v>
      </c>
      <c r="F62" s="31" t="s">
        <v>473</v>
      </c>
      <c r="G62" s="31" t="s">
        <v>522</v>
      </c>
      <c r="H62" s="31" t="s">
        <v>481</v>
      </c>
      <c r="I62" s="31" t="s">
        <v>525</v>
      </c>
      <c r="J62" s="43" t="s">
        <v>524</v>
      </c>
    </row>
    <row r="63" spans="1:10" ht="15">
      <c r="A63" s="30">
        <v>59</v>
      </c>
      <c r="B63" s="31">
        <v>5</v>
      </c>
      <c r="C63" s="31" t="s">
        <v>496</v>
      </c>
      <c r="D63" s="31" t="s">
        <v>486</v>
      </c>
      <c r="E63" s="31" t="s">
        <v>477</v>
      </c>
      <c r="F63" s="31" t="s">
        <v>473</v>
      </c>
      <c r="G63" s="31" t="s">
        <v>526</v>
      </c>
      <c r="H63" s="31" t="s">
        <v>484</v>
      </c>
      <c r="I63" s="31" t="s">
        <v>527</v>
      </c>
      <c r="J63" s="43" t="s">
        <v>524</v>
      </c>
    </row>
    <row r="64" spans="1:10" ht="15">
      <c r="A64" s="30">
        <v>60</v>
      </c>
      <c r="B64" s="31">
        <v>5</v>
      </c>
      <c r="C64" s="31" t="s">
        <v>496</v>
      </c>
      <c r="D64" s="31" t="s">
        <v>490</v>
      </c>
      <c r="E64" s="31" t="s">
        <v>491</v>
      </c>
      <c r="F64" s="31" t="s">
        <v>473</v>
      </c>
      <c r="G64" s="31" t="s">
        <v>526</v>
      </c>
      <c r="H64" s="31" t="s">
        <v>485</v>
      </c>
      <c r="I64" s="31" t="s">
        <v>533</v>
      </c>
      <c r="J64" s="43" t="s">
        <v>524</v>
      </c>
    </row>
    <row r="65" spans="1:10" ht="15">
      <c r="A65" s="30">
        <v>61</v>
      </c>
      <c r="B65" s="31">
        <v>6</v>
      </c>
      <c r="C65" s="31" t="s">
        <v>497</v>
      </c>
      <c r="D65" s="31" t="s">
        <v>471</v>
      </c>
      <c r="E65" s="31" t="s">
        <v>477</v>
      </c>
      <c r="F65" s="31" t="s">
        <v>473</v>
      </c>
      <c r="G65" s="31" t="s">
        <v>522</v>
      </c>
      <c r="H65" s="31" t="s">
        <v>487</v>
      </c>
      <c r="I65" s="31" t="s">
        <v>523</v>
      </c>
      <c r="J65" s="43" t="s">
        <v>524</v>
      </c>
    </row>
    <row r="66" spans="1:10" ht="15">
      <c r="A66" s="30">
        <v>62</v>
      </c>
      <c r="B66" s="31">
        <v>6</v>
      </c>
      <c r="C66" s="31" t="s">
        <v>497</v>
      </c>
      <c r="D66" s="31" t="s">
        <v>471</v>
      </c>
      <c r="E66" s="31" t="s">
        <v>475</v>
      </c>
      <c r="F66" s="31" t="s">
        <v>473</v>
      </c>
      <c r="G66" s="31" t="s">
        <v>522</v>
      </c>
      <c r="H66" s="31" t="s">
        <v>488</v>
      </c>
      <c r="I66" s="31" t="s">
        <v>525</v>
      </c>
      <c r="J66" s="43" t="s">
        <v>524</v>
      </c>
    </row>
    <row r="67" spans="1:10" ht="15">
      <c r="A67" s="30">
        <v>63</v>
      </c>
      <c r="B67" s="31">
        <v>6</v>
      </c>
      <c r="C67" s="31" t="s">
        <v>497</v>
      </c>
      <c r="D67" s="31" t="s">
        <v>471</v>
      </c>
      <c r="E67" s="31" t="s">
        <v>472</v>
      </c>
      <c r="F67" s="31" t="s">
        <v>473</v>
      </c>
      <c r="G67" s="31" t="s">
        <v>526</v>
      </c>
      <c r="H67" s="31" t="s">
        <v>485</v>
      </c>
      <c r="I67" s="31" t="s">
        <v>527</v>
      </c>
      <c r="J67" s="43" t="s">
        <v>524</v>
      </c>
    </row>
    <row r="68" spans="1:10" ht="15">
      <c r="A68" s="30">
        <v>64</v>
      </c>
      <c r="B68" s="31">
        <v>6</v>
      </c>
      <c r="C68" s="31" t="s">
        <v>497</v>
      </c>
      <c r="D68" s="31" t="s">
        <v>479</v>
      </c>
      <c r="E68" s="31" t="s">
        <v>477</v>
      </c>
      <c r="F68" s="31" t="s">
        <v>473</v>
      </c>
      <c r="G68" s="31" t="s">
        <v>522</v>
      </c>
      <c r="H68" s="31" t="s">
        <v>474</v>
      </c>
      <c r="I68" s="31" t="s">
        <v>528</v>
      </c>
      <c r="J68" s="43" t="s">
        <v>524</v>
      </c>
    </row>
    <row r="69" spans="1:10" ht="15">
      <c r="A69" s="30">
        <v>65</v>
      </c>
      <c r="B69" s="31">
        <v>6</v>
      </c>
      <c r="C69" s="31" t="s">
        <v>497</v>
      </c>
      <c r="D69" s="31" t="s">
        <v>479</v>
      </c>
      <c r="E69" s="31" t="s">
        <v>475</v>
      </c>
      <c r="F69" s="31" t="s">
        <v>473</v>
      </c>
      <c r="G69" s="31" t="s">
        <v>526</v>
      </c>
      <c r="H69" s="31" t="s">
        <v>492</v>
      </c>
      <c r="I69" s="31" t="s">
        <v>529</v>
      </c>
      <c r="J69" s="43" t="s">
        <v>524</v>
      </c>
    </row>
    <row r="70" spans="1:10" ht="15">
      <c r="A70" s="30">
        <v>66</v>
      </c>
      <c r="B70" s="31">
        <v>6</v>
      </c>
      <c r="C70" s="31" t="s">
        <v>497</v>
      </c>
      <c r="D70" s="31" t="s">
        <v>479</v>
      </c>
      <c r="E70" s="31" t="s">
        <v>472</v>
      </c>
      <c r="F70" s="31" t="s">
        <v>473</v>
      </c>
      <c r="G70" s="31" t="s">
        <v>526</v>
      </c>
      <c r="H70" s="31" t="s">
        <v>489</v>
      </c>
      <c r="I70" s="31" t="s">
        <v>530</v>
      </c>
      <c r="J70" s="43" t="s">
        <v>524</v>
      </c>
    </row>
    <row r="71" spans="1:10" ht="15">
      <c r="A71" s="30">
        <v>67</v>
      </c>
      <c r="B71" s="31">
        <v>6</v>
      </c>
      <c r="C71" s="31" t="s">
        <v>497</v>
      </c>
      <c r="D71" s="31" t="s">
        <v>483</v>
      </c>
      <c r="E71" s="31" t="s">
        <v>472</v>
      </c>
      <c r="F71" s="31" t="s">
        <v>473</v>
      </c>
      <c r="G71" s="31" t="s">
        <v>522</v>
      </c>
      <c r="H71" s="31" t="s">
        <v>476</v>
      </c>
      <c r="I71" s="31" t="s">
        <v>531</v>
      </c>
      <c r="J71" s="43" t="s">
        <v>524</v>
      </c>
    </row>
    <row r="72" spans="1:10" ht="15">
      <c r="A72" s="30">
        <v>68</v>
      </c>
      <c r="B72" s="31">
        <v>6</v>
      </c>
      <c r="C72" s="31" t="s">
        <v>497</v>
      </c>
      <c r="D72" s="31" t="s">
        <v>483</v>
      </c>
      <c r="E72" s="31" t="s">
        <v>477</v>
      </c>
      <c r="F72" s="31" t="s">
        <v>473</v>
      </c>
      <c r="G72" s="31" t="s">
        <v>526</v>
      </c>
      <c r="H72" s="31" t="s">
        <v>478</v>
      </c>
      <c r="I72" s="31" t="s">
        <v>532</v>
      </c>
      <c r="J72" s="43" t="s">
        <v>524</v>
      </c>
    </row>
    <row r="73" spans="1:10" ht="15">
      <c r="A73" s="30">
        <v>69</v>
      </c>
      <c r="B73" s="31">
        <v>6</v>
      </c>
      <c r="C73" s="31" t="s">
        <v>497</v>
      </c>
      <c r="D73" s="31" t="s">
        <v>486</v>
      </c>
      <c r="E73" s="31" t="s">
        <v>475</v>
      </c>
      <c r="F73" s="31" t="s">
        <v>473</v>
      </c>
      <c r="G73" s="31" t="s">
        <v>522</v>
      </c>
      <c r="H73" s="31" t="s">
        <v>480</v>
      </c>
      <c r="I73" s="31" t="s">
        <v>523</v>
      </c>
      <c r="J73" s="43" t="s">
        <v>524</v>
      </c>
    </row>
    <row r="74" spans="1:10" ht="15">
      <c r="A74" s="30">
        <v>70</v>
      </c>
      <c r="B74" s="31">
        <v>6</v>
      </c>
      <c r="C74" s="31" t="s">
        <v>497</v>
      </c>
      <c r="D74" s="31" t="s">
        <v>486</v>
      </c>
      <c r="E74" s="31" t="s">
        <v>477</v>
      </c>
      <c r="F74" s="31" t="s">
        <v>473</v>
      </c>
      <c r="G74" s="31" t="s">
        <v>522</v>
      </c>
      <c r="H74" s="31" t="s">
        <v>481</v>
      </c>
      <c r="I74" s="31" t="s">
        <v>525</v>
      </c>
      <c r="J74" s="43" t="s">
        <v>524</v>
      </c>
    </row>
    <row r="75" spans="1:10" ht="15">
      <c r="A75" s="30">
        <v>71</v>
      </c>
      <c r="B75" s="31">
        <v>6</v>
      </c>
      <c r="C75" s="31" t="s">
        <v>497</v>
      </c>
      <c r="D75" s="31" t="s">
        <v>486</v>
      </c>
      <c r="E75" s="31" t="s">
        <v>472</v>
      </c>
      <c r="F75" s="31" t="s">
        <v>473</v>
      </c>
      <c r="G75" s="31" t="s">
        <v>526</v>
      </c>
      <c r="H75" s="31" t="s">
        <v>482</v>
      </c>
      <c r="I75" s="31" t="s">
        <v>527</v>
      </c>
      <c r="J75" s="43" t="s">
        <v>524</v>
      </c>
    </row>
    <row r="76" spans="1:10" ht="15">
      <c r="A76" s="30">
        <v>72</v>
      </c>
      <c r="B76" s="31">
        <v>6</v>
      </c>
      <c r="C76" s="31" t="s">
        <v>497</v>
      </c>
      <c r="D76" s="31" t="s">
        <v>490</v>
      </c>
      <c r="E76" s="31" t="s">
        <v>491</v>
      </c>
      <c r="F76" s="31" t="s">
        <v>473</v>
      </c>
      <c r="G76" s="31" t="s">
        <v>526</v>
      </c>
      <c r="H76" s="31" t="s">
        <v>484</v>
      </c>
      <c r="I76" s="31" t="s">
        <v>533</v>
      </c>
      <c r="J76" s="43" t="s">
        <v>524</v>
      </c>
    </row>
    <row r="77" spans="1:10" ht="15">
      <c r="A77" s="30">
        <v>73</v>
      </c>
      <c r="B77" s="31">
        <v>7</v>
      </c>
      <c r="C77" s="31" t="s">
        <v>498</v>
      </c>
      <c r="D77" s="31" t="s">
        <v>471</v>
      </c>
      <c r="E77" s="31" t="s">
        <v>477</v>
      </c>
      <c r="F77" s="31" t="s">
        <v>473</v>
      </c>
      <c r="G77" s="31" t="s">
        <v>522</v>
      </c>
      <c r="H77" s="31" t="s">
        <v>488</v>
      </c>
      <c r="I77" s="31" t="s">
        <v>523</v>
      </c>
      <c r="J77" s="43" t="s">
        <v>524</v>
      </c>
    </row>
    <row r="78" spans="1:10" ht="15">
      <c r="A78" s="30">
        <v>74</v>
      </c>
      <c r="B78" s="31">
        <v>7</v>
      </c>
      <c r="C78" s="31" t="s">
        <v>498</v>
      </c>
      <c r="D78" s="31" t="s">
        <v>471</v>
      </c>
      <c r="E78" s="31" t="s">
        <v>472</v>
      </c>
      <c r="F78" s="31" t="s">
        <v>473</v>
      </c>
      <c r="G78" s="31" t="s">
        <v>526</v>
      </c>
      <c r="H78" s="31" t="s">
        <v>484</v>
      </c>
      <c r="I78" s="31" t="s">
        <v>525</v>
      </c>
      <c r="J78" s="43" t="s">
        <v>524</v>
      </c>
    </row>
    <row r="79" spans="1:10" ht="15">
      <c r="A79" s="30">
        <v>75</v>
      </c>
      <c r="B79" s="31">
        <v>7</v>
      </c>
      <c r="C79" s="31" t="s">
        <v>498</v>
      </c>
      <c r="D79" s="31" t="s">
        <v>471</v>
      </c>
      <c r="E79" s="31" t="s">
        <v>475</v>
      </c>
      <c r="F79" s="31" t="s">
        <v>473</v>
      </c>
      <c r="G79" s="31" t="s">
        <v>526</v>
      </c>
      <c r="H79" s="31" t="s">
        <v>485</v>
      </c>
      <c r="I79" s="31" t="s">
        <v>527</v>
      </c>
      <c r="J79" s="43" t="s">
        <v>524</v>
      </c>
    </row>
    <row r="80" spans="1:10" ht="15">
      <c r="A80" s="30">
        <v>76</v>
      </c>
      <c r="B80" s="31">
        <v>7</v>
      </c>
      <c r="C80" s="31" t="s">
        <v>498</v>
      </c>
      <c r="D80" s="31" t="s">
        <v>479</v>
      </c>
      <c r="E80" s="31" t="s">
        <v>472</v>
      </c>
      <c r="F80" s="31" t="s">
        <v>473</v>
      </c>
      <c r="G80" s="31" t="s">
        <v>522</v>
      </c>
      <c r="H80" s="31" t="s">
        <v>487</v>
      </c>
      <c r="I80" s="31" t="s">
        <v>528</v>
      </c>
      <c r="J80" s="43" t="s">
        <v>524</v>
      </c>
    </row>
    <row r="81" spans="1:10" ht="15">
      <c r="A81" s="30">
        <v>77</v>
      </c>
      <c r="B81" s="31">
        <v>7</v>
      </c>
      <c r="C81" s="31" t="s">
        <v>498</v>
      </c>
      <c r="D81" s="31" t="s">
        <v>479</v>
      </c>
      <c r="E81" s="31" t="s">
        <v>477</v>
      </c>
      <c r="F81" s="31" t="s">
        <v>473</v>
      </c>
      <c r="G81" s="31" t="s">
        <v>526</v>
      </c>
      <c r="H81" s="31" t="s">
        <v>492</v>
      </c>
      <c r="I81" s="31" t="s">
        <v>529</v>
      </c>
      <c r="J81" s="43" t="s">
        <v>524</v>
      </c>
    </row>
    <row r="82" spans="1:10" ht="15">
      <c r="A82" s="30">
        <v>78</v>
      </c>
      <c r="B82" s="31">
        <v>7</v>
      </c>
      <c r="C82" s="31" t="s">
        <v>498</v>
      </c>
      <c r="D82" s="31" t="s">
        <v>479</v>
      </c>
      <c r="E82" s="31" t="s">
        <v>475</v>
      </c>
      <c r="F82" s="31" t="s">
        <v>473</v>
      </c>
      <c r="G82" s="31" t="s">
        <v>526</v>
      </c>
      <c r="H82" s="31" t="s">
        <v>489</v>
      </c>
      <c r="I82" s="31" t="s">
        <v>530</v>
      </c>
      <c r="J82" s="43" t="s">
        <v>524</v>
      </c>
    </row>
    <row r="83" spans="1:10" ht="15">
      <c r="A83" s="30">
        <v>79</v>
      </c>
      <c r="B83" s="31">
        <v>7</v>
      </c>
      <c r="C83" s="31" t="s">
        <v>498</v>
      </c>
      <c r="D83" s="31" t="s">
        <v>483</v>
      </c>
      <c r="E83" s="31" t="s">
        <v>472</v>
      </c>
      <c r="F83" s="31" t="s">
        <v>473</v>
      </c>
      <c r="G83" s="31" t="s">
        <v>522</v>
      </c>
      <c r="H83" s="31" t="s">
        <v>474</v>
      </c>
      <c r="I83" s="31" t="s">
        <v>531</v>
      </c>
      <c r="J83" s="43" t="s">
        <v>524</v>
      </c>
    </row>
    <row r="84" spans="1:10" ht="15">
      <c r="A84" s="30">
        <v>80</v>
      </c>
      <c r="B84" s="31">
        <v>7</v>
      </c>
      <c r="C84" s="31" t="s">
        <v>498</v>
      </c>
      <c r="D84" s="31" t="s">
        <v>483</v>
      </c>
      <c r="E84" s="31" t="s">
        <v>477</v>
      </c>
      <c r="F84" s="31" t="s">
        <v>473</v>
      </c>
      <c r="G84" s="31" t="s">
        <v>522</v>
      </c>
      <c r="H84" s="31" t="s">
        <v>476</v>
      </c>
      <c r="I84" s="31" t="s">
        <v>532</v>
      </c>
      <c r="J84" s="43" t="s">
        <v>524</v>
      </c>
    </row>
    <row r="85" spans="1:10" ht="15">
      <c r="A85" s="30">
        <v>81</v>
      </c>
      <c r="B85" s="31">
        <v>7</v>
      </c>
      <c r="C85" s="31" t="s">
        <v>498</v>
      </c>
      <c r="D85" s="31" t="s">
        <v>486</v>
      </c>
      <c r="E85" s="31" t="s">
        <v>477</v>
      </c>
      <c r="F85" s="31" t="s">
        <v>473</v>
      </c>
      <c r="G85" s="31" t="s">
        <v>522</v>
      </c>
      <c r="H85" s="31" t="s">
        <v>480</v>
      </c>
      <c r="I85" s="31" t="s">
        <v>523</v>
      </c>
      <c r="J85" s="43" t="s">
        <v>524</v>
      </c>
    </row>
    <row r="86" spans="1:10" ht="15">
      <c r="A86" s="30">
        <v>82</v>
      </c>
      <c r="B86" s="31">
        <v>7</v>
      </c>
      <c r="C86" s="31" t="s">
        <v>498</v>
      </c>
      <c r="D86" s="31" t="s">
        <v>486</v>
      </c>
      <c r="E86" s="31" t="s">
        <v>472</v>
      </c>
      <c r="F86" s="31" t="s">
        <v>473</v>
      </c>
      <c r="G86" s="31" t="s">
        <v>526</v>
      </c>
      <c r="H86" s="31" t="s">
        <v>478</v>
      </c>
      <c r="I86" s="31" t="s">
        <v>525</v>
      </c>
      <c r="J86" s="43" t="s">
        <v>524</v>
      </c>
    </row>
    <row r="87" spans="1:10" ht="15">
      <c r="A87" s="30">
        <v>83</v>
      </c>
      <c r="B87" s="31">
        <v>7</v>
      </c>
      <c r="C87" s="31" t="s">
        <v>498</v>
      </c>
      <c r="D87" s="31" t="s">
        <v>486</v>
      </c>
      <c r="E87" s="31" t="s">
        <v>475</v>
      </c>
      <c r="F87" s="31" t="s">
        <v>473</v>
      </c>
      <c r="G87" s="31" t="s">
        <v>526</v>
      </c>
      <c r="H87" s="31" t="s">
        <v>482</v>
      </c>
      <c r="I87" s="31" t="s">
        <v>527</v>
      </c>
      <c r="J87" s="43" t="s">
        <v>524</v>
      </c>
    </row>
    <row r="88" spans="1:10" ht="15">
      <c r="A88" s="30">
        <v>84</v>
      </c>
      <c r="B88" s="31">
        <v>7</v>
      </c>
      <c r="C88" s="31" t="s">
        <v>498</v>
      </c>
      <c r="D88" s="31" t="s">
        <v>490</v>
      </c>
      <c r="E88" s="31" t="s">
        <v>491</v>
      </c>
      <c r="F88" s="31" t="s">
        <v>473</v>
      </c>
      <c r="G88" s="31" t="s">
        <v>522</v>
      </c>
      <c r="H88" s="31" t="s">
        <v>481</v>
      </c>
      <c r="I88" s="31" t="s">
        <v>533</v>
      </c>
      <c r="J88" s="43" t="s">
        <v>524</v>
      </c>
    </row>
    <row r="89" spans="1:10" ht="15">
      <c r="A89" s="30">
        <v>85</v>
      </c>
      <c r="B89" s="31">
        <v>8</v>
      </c>
      <c r="C89" s="31" t="s">
        <v>499</v>
      </c>
      <c r="D89" s="31" t="s">
        <v>471</v>
      </c>
      <c r="E89" s="31" t="s">
        <v>472</v>
      </c>
      <c r="F89" s="31" t="s">
        <v>473</v>
      </c>
      <c r="G89" s="31" t="s">
        <v>522</v>
      </c>
      <c r="H89" s="31" t="s">
        <v>481</v>
      </c>
      <c r="I89" s="31" t="s">
        <v>523</v>
      </c>
      <c r="J89" s="43" t="s">
        <v>524</v>
      </c>
    </row>
    <row r="90" spans="1:10" ht="15">
      <c r="A90" s="30">
        <v>86</v>
      </c>
      <c r="B90" s="31">
        <v>8</v>
      </c>
      <c r="C90" s="31" t="s">
        <v>499</v>
      </c>
      <c r="D90" s="31" t="s">
        <v>471</v>
      </c>
      <c r="E90" s="31" t="s">
        <v>475</v>
      </c>
      <c r="F90" s="31" t="s">
        <v>473</v>
      </c>
      <c r="G90" s="31" t="s">
        <v>526</v>
      </c>
      <c r="H90" s="31" t="s">
        <v>484</v>
      </c>
      <c r="I90" s="31" t="s">
        <v>525</v>
      </c>
      <c r="J90" s="43" t="s">
        <v>524</v>
      </c>
    </row>
    <row r="91" spans="1:10" ht="15">
      <c r="A91" s="30">
        <v>87</v>
      </c>
      <c r="B91" s="31">
        <v>8</v>
      </c>
      <c r="C91" s="31" t="s">
        <v>499</v>
      </c>
      <c r="D91" s="31" t="s">
        <v>471</v>
      </c>
      <c r="E91" s="31" t="s">
        <v>477</v>
      </c>
      <c r="F91" s="31" t="s">
        <v>473</v>
      </c>
      <c r="G91" s="31" t="s">
        <v>526</v>
      </c>
      <c r="H91" s="31" t="s">
        <v>485</v>
      </c>
      <c r="I91" s="31" t="s">
        <v>527</v>
      </c>
      <c r="J91" s="43" t="s">
        <v>524</v>
      </c>
    </row>
    <row r="92" spans="1:10" ht="15">
      <c r="A92" s="30">
        <v>88</v>
      </c>
      <c r="B92" s="31">
        <v>8</v>
      </c>
      <c r="C92" s="31" t="s">
        <v>499</v>
      </c>
      <c r="D92" s="31" t="s">
        <v>479</v>
      </c>
      <c r="E92" s="31" t="s">
        <v>475</v>
      </c>
      <c r="F92" s="31" t="s">
        <v>473</v>
      </c>
      <c r="G92" s="31" t="s">
        <v>522</v>
      </c>
      <c r="H92" s="31" t="s">
        <v>487</v>
      </c>
      <c r="I92" s="31" t="s">
        <v>528</v>
      </c>
      <c r="J92" s="43" t="s">
        <v>524</v>
      </c>
    </row>
    <row r="93" spans="1:10" ht="15">
      <c r="A93" s="30">
        <v>89</v>
      </c>
      <c r="B93" s="31">
        <v>8</v>
      </c>
      <c r="C93" s="31" t="s">
        <v>499</v>
      </c>
      <c r="D93" s="31" t="s">
        <v>479</v>
      </c>
      <c r="E93" s="31" t="s">
        <v>472</v>
      </c>
      <c r="F93" s="31" t="s">
        <v>473</v>
      </c>
      <c r="G93" s="31" t="s">
        <v>522</v>
      </c>
      <c r="H93" s="31" t="s">
        <v>488</v>
      </c>
      <c r="I93" s="31" t="s">
        <v>529</v>
      </c>
      <c r="J93" s="43" t="s">
        <v>524</v>
      </c>
    </row>
    <row r="94" spans="1:10" ht="15">
      <c r="A94" s="30">
        <v>90</v>
      </c>
      <c r="B94" s="31">
        <v>8</v>
      </c>
      <c r="C94" s="31" t="s">
        <v>499</v>
      </c>
      <c r="D94" s="31" t="s">
        <v>479</v>
      </c>
      <c r="E94" s="31" t="s">
        <v>477</v>
      </c>
      <c r="F94" s="31" t="s">
        <v>473</v>
      </c>
      <c r="G94" s="31" t="s">
        <v>526</v>
      </c>
      <c r="H94" s="31" t="s">
        <v>489</v>
      </c>
      <c r="I94" s="31" t="s">
        <v>530</v>
      </c>
      <c r="J94" s="43" t="s">
        <v>524</v>
      </c>
    </row>
    <row r="95" spans="1:10" ht="15">
      <c r="A95" s="30">
        <v>91</v>
      </c>
      <c r="B95" s="31">
        <v>8</v>
      </c>
      <c r="C95" s="31" t="s">
        <v>499</v>
      </c>
      <c r="D95" s="31" t="s">
        <v>483</v>
      </c>
      <c r="E95" s="31" t="s">
        <v>477</v>
      </c>
      <c r="F95" s="31" t="s">
        <v>473</v>
      </c>
      <c r="G95" s="31" t="s">
        <v>522</v>
      </c>
      <c r="H95" s="31" t="s">
        <v>474</v>
      </c>
      <c r="I95" s="31" t="s">
        <v>531</v>
      </c>
      <c r="J95" s="43" t="s">
        <v>524</v>
      </c>
    </row>
    <row r="96" spans="1:10" ht="15">
      <c r="A96" s="30">
        <v>92</v>
      </c>
      <c r="B96" s="31">
        <v>8</v>
      </c>
      <c r="C96" s="31" t="s">
        <v>499</v>
      </c>
      <c r="D96" s="31" t="s">
        <v>483</v>
      </c>
      <c r="E96" s="31" t="s">
        <v>472</v>
      </c>
      <c r="F96" s="31" t="s">
        <v>473</v>
      </c>
      <c r="G96" s="31" t="s">
        <v>526</v>
      </c>
      <c r="H96" s="31" t="s">
        <v>492</v>
      </c>
      <c r="I96" s="31" t="s">
        <v>532</v>
      </c>
      <c r="J96" s="43" t="s">
        <v>524</v>
      </c>
    </row>
    <row r="97" spans="1:10" ht="15">
      <c r="A97" s="30">
        <v>93</v>
      </c>
      <c r="B97" s="31">
        <v>8</v>
      </c>
      <c r="C97" s="31" t="s">
        <v>499</v>
      </c>
      <c r="D97" s="31" t="s">
        <v>486</v>
      </c>
      <c r="E97" s="31" t="s">
        <v>472</v>
      </c>
      <c r="F97" s="31" t="s">
        <v>473</v>
      </c>
      <c r="G97" s="31" t="s">
        <v>522</v>
      </c>
      <c r="H97" s="31" t="s">
        <v>476</v>
      </c>
      <c r="I97" s="31" t="s">
        <v>523</v>
      </c>
      <c r="J97" s="43" t="s">
        <v>524</v>
      </c>
    </row>
    <row r="98" spans="1:10" ht="15">
      <c r="A98" s="30">
        <v>94</v>
      </c>
      <c r="B98" s="31">
        <v>8</v>
      </c>
      <c r="C98" s="31" t="s">
        <v>499</v>
      </c>
      <c r="D98" s="31" t="s">
        <v>486</v>
      </c>
      <c r="E98" s="31" t="s">
        <v>475</v>
      </c>
      <c r="F98" s="31" t="s">
        <v>473</v>
      </c>
      <c r="G98" s="31" t="s">
        <v>526</v>
      </c>
      <c r="H98" s="31" t="s">
        <v>478</v>
      </c>
      <c r="I98" s="31" t="s">
        <v>525</v>
      </c>
      <c r="J98" s="43" t="s">
        <v>524</v>
      </c>
    </row>
    <row r="99" spans="1:10" ht="15">
      <c r="A99" s="30">
        <v>95</v>
      </c>
      <c r="B99" s="31">
        <v>8</v>
      </c>
      <c r="C99" s="31" t="s">
        <v>499</v>
      </c>
      <c r="D99" s="31" t="s">
        <v>486</v>
      </c>
      <c r="E99" s="31" t="s">
        <v>477</v>
      </c>
      <c r="F99" s="31" t="s">
        <v>473</v>
      </c>
      <c r="G99" s="31" t="s">
        <v>526</v>
      </c>
      <c r="H99" s="31" t="s">
        <v>482</v>
      </c>
      <c r="I99" s="31" t="s">
        <v>527</v>
      </c>
      <c r="J99" s="43" t="s">
        <v>524</v>
      </c>
    </row>
    <row r="100" spans="1:10" ht="15">
      <c r="A100" s="30">
        <v>96</v>
      </c>
      <c r="B100" s="31">
        <v>8</v>
      </c>
      <c r="C100" s="31" t="s">
        <v>499</v>
      </c>
      <c r="D100" s="31" t="s">
        <v>490</v>
      </c>
      <c r="E100" s="31" t="s">
        <v>491</v>
      </c>
      <c r="F100" s="31" t="s">
        <v>473</v>
      </c>
      <c r="G100" s="31" t="s">
        <v>522</v>
      </c>
      <c r="H100" s="31" t="s">
        <v>480</v>
      </c>
      <c r="I100" s="31" t="s">
        <v>533</v>
      </c>
      <c r="J100" s="43" t="s">
        <v>524</v>
      </c>
    </row>
    <row r="101" spans="1:10" ht="15">
      <c r="A101" s="30">
        <v>97</v>
      </c>
      <c r="B101" s="31">
        <v>9</v>
      </c>
      <c r="C101" s="31" t="s">
        <v>500</v>
      </c>
      <c r="D101" s="31" t="s">
        <v>471</v>
      </c>
      <c r="E101" s="31" t="s">
        <v>472</v>
      </c>
      <c r="F101" s="31" t="s">
        <v>473</v>
      </c>
      <c r="G101" s="31" t="s">
        <v>522</v>
      </c>
      <c r="H101" s="31" t="s">
        <v>480</v>
      </c>
      <c r="I101" s="31" t="s">
        <v>523</v>
      </c>
      <c r="J101" s="43" t="s">
        <v>524</v>
      </c>
    </row>
    <row r="102" spans="1:10" ht="15">
      <c r="A102" s="30">
        <v>98</v>
      </c>
      <c r="B102" s="31">
        <v>9</v>
      </c>
      <c r="C102" s="31" t="s">
        <v>500</v>
      </c>
      <c r="D102" s="31" t="s">
        <v>471</v>
      </c>
      <c r="E102" s="31" t="s">
        <v>475</v>
      </c>
      <c r="F102" s="31" t="s">
        <v>473</v>
      </c>
      <c r="G102" s="31" t="s">
        <v>522</v>
      </c>
      <c r="H102" s="31" t="s">
        <v>481</v>
      </c>
      <c r="I102" s="31" t="s">
        <v>525</v>
      </c>
      <c r="J102" s="43" t="s">
        <v>524</v>
      </c>
    </row>
    <row r="103" spans="1:10" ht="15">
      <c r="A103" s="30">
        <v>99</v>
      </c>
      <c r="B103" s="31">
        <v>9</v>
      </c>
      <c r="C103" s="31" t="s">
        <v>500</v>
      </c>
      <c r="D103" s="31" t="s">
        <v>471</v>
      </c>
      <c r="E103" s="31" t="s">
        <v>477</v>
      </c>
      <c r="F103" s="31" t="s">
        <v>473</v>
      </c>
      <c r="G103" s="31" t="s">
        <v>526</v>
      </c>
      <c r="H103" s="31" t="s">
        <v>484</v>
      </c>
      <c r="I103" s="31" t="s">
        <v>527</v>
      </c>
      <c r="J103" s="43" t="s">
        <v>524</v>
      </c>
    </row>
    <row r="104" spans="1:10" ht="15">
      <c r="A104" s="30">
        <v>100</v>
      </c>
      <c r="B104" s="31">
        <v>9</v>
      </c>
      <c r="C104" s="31" t="s">
        <v>500</v>
      </c>
      <c r="D104" s="31" t="s">
        <v>479</v>
      </c>
      <c r="E104" s="31" t="s">
        <v>477</v>
      </c>
      <c r="F104" s="31" t="s">
        <v>473</v>
      </c>
      <c r="G104" s="31" t="s">
        <v>522</v>
      </c>
      <c r="H104" s="31" t="s">
        <v>487</v>
      </c>
      <c r="I104" s="31" t="s">
        <v>528</v>
      </c>
      <c r="J104" s="43" t="s">
        <v>524</v>
      </c>
    </row>
    <row r="105" spans="1:10" ht="15">
      <c r="A105" s="30">
        <v>101</v>
      </c>
      <c r="B105" s="31">
        <v>9</v>
      </c>
      <c r="C105" s="31" t="s">
        <v>500</v>
      </c>
      <c r="D105" s="31" t="s">
        <v>479</v>
      </c>
      <c r="E105" s="31" t="s">
        <v>475</v>
      </c>
      <c r="F105" s="31" t="s">
        <v>473</v>
      </c>
      <c r="G105" s="31" t="s">
        <v>522</v>
      </c>
      <c r="H105" s="31" t="s">
        <v>488</v>
      </c>
      <c r="I105" s="31" t="s">
        <v>529</v>
      </c>
      <c r="J105" s="43" t="s">
        <v>524</v>
      </c>
    </row>
    <row r="106" spans="1:10" ht="15">
      <c r="A106" s="30">
        <v>102</v>
      </c>
      <c r="B106" s="31">
        <v>9</v>
      </c>
      <c r="C106" s="31" t="s">
        <v>500</v>
      </c>
      <c r="D106" s="31" t="s">
        <v>479</v>
      </c>
      <c r="E106" s="31" t="s">
        <v>472</v>
      </c>
      <c r="F106" s="31" t="s">
        <v>473</v>
      </c>
      <c r="G106" s="31" t="s">
        <v>526</v>
      </c>
      <c r="H106" s="31" t="s">
        <v>485</v>
      </c>
      <c r="I106" s="31" t="s">
        <v>530</v>
      </c>
      <c r="J106" s="43" t="s">
        <v>524</v>
      </c>
    </row>
    <row r="107" spans="1:10" ht="15">
      <c r="A107" s="30">
        <v>103</v>
      </c>
      <c r="B107" s="31">
        <v>9</v>
      </c>
      <c r="C107" s="31" t="s">
        <v>500</v>
      </c>
      <c r="D107" s="31" t="s">
        <v>483</v>
      </c>
      <c r="E107" s="31" t="s">
        <v>477</v>
      </c>
      <c r="F107" s="31" t="s">
        <v>473</v>
      </c>
      <c r="G107" s="31" t="s">
        <v>526</v>
      </c>
      <c r="H107" s="31" t="s">
        <v>492</v>
      </c>
      <c r="I107" s="31" t="s">
        <v>531</v>
      </c>
      <c r="J107" s="43" t="s">
        <v>524</v>
      </c>
    </row>
    <row r="108" spans="1:10" ht="15">
      <c r="A108" s="30">
        <v>104</v>
      </c>
      <c r="B108" s="31">
        <v>9</v>
      </c>
      <c r="C108" s="31" t="s">
        <v>500</v>
      </c>
      <c r="D108" s="31" t="s">
        <v>483</v>
      </c>
      <c r="E108" s="31" t="s">
        <v>472</v>
      </c>
      <c r="F108" s="31" t="s">
        <v>473</v>
      </c>
      <c r="G108" s="31" t="s">
        <v>526</v>
      </c>
      <c r="H108" s="31" t="s">
        <v>489</v>
      </c>
      <c r="I108" s="31" t="s">
        <v>532</v>
      </c>
      <c r="J108" s="43" t="s">
        <v>524</v>
      </c>
    </row>
    <row r="109" spans="1:10" ht="15">
      <c r="A109" s="30">
        <v>105</v>
      </c>
      <c r="B109" s="31">
        <v>9</v>
      </c>
      <c r="C109" s="31" t="s">
        <v>500</v>
      </c>
      <c r="D109" s="31" t="s">
        <v>486</v>
      </c>
      <c r="E109" s="31" t="s">
        <v>472</v>
      </c>
      <c r="F109" s="31" t="s">
        <v>473</v>
      </c>
      <c r="G109" s="31" t="s">
        <v>522</v>
      </c>
      <c r="H109" s="31" t="s">
        <v>474</v>
      </c>
      <c r="I109" s="31" t="s">
        <v>523</v>
      </c>
      <c r="J109" s="43" t="s">
        <v>524</v>
      </c>
    </row>
    <row r="110" spans="1:10" ht="15">
      <c r="A110" s="30">
        <v>106</v>
      </c>
      <c r="B110" s="31">
        <v>9</v>
      </c>
      <c r="C110" s="31" t="s">
        <v>500</v>
      </c>
      <c r="D110" s="31" t="s">
        <v>486</v>
      </c>
      <c r="E110" s="31" t="s">
        <v>475</v>
      </c>
      <c r="F110" s="31" t="s">
        <v>473</v>
      </c>
      <c r="G110" s="31" t="s">
        <v>522</v>
      </c>
      <c r="H110" s="31" t="s">
        <v>476</v>
      </c>
      <c r="I110" s="31" t="s">
        <v>525</v>
      </c>
      <c r="J110" s="43" t="s">
        <v>524</v>
      </c>
    </row>
    <row r="111" spans="1:10" ht="15">
      <c r="A111" s="30">
        <v>107</v>
      </c>
      <c r="B111" s="31">
        <v>9</v>
      </c>
      <c r="C111" s="31" t="s">
        <v>500</v>
      </c>
      <c r="D111" s="31" t="s">
        <v>486</v>
      </c>
      <c r="E111" s="31" t="s">
        <v>477</v>
      </c>
      <c r="F111" s="31" t="s">
        <v>473</v>
      </c>
      <c r="G111" s="31" t="s">
        <v>526</v>
      </c>
      <c r="H111" s="31" t="s">
        <v>478</v>
      </c>
      <c r="I111" s="31" t="s">
        <v>527</v>
      </c>
      <c r="J111" s="43" t="s">
        <v>524</v>
      </c>
    </row>
    <row r="112" spans="1:10" ht="15">
      <c r="A112" s="30">
        <v>108</v>
      </c>
      <c r="B112" s="31">
        <v>9</v>
      </c>
      <c r="C112" s="31" t="s">
        <v>500</v>
      </c>
      <c r="D112" s="31" t="s">
        <v>490</v>
      </c>
      <c r="E112" s="31" t="s">
        <v>491</v>
      </c>
      <c r="F112" s="31" t="s">
        <v>473</v>
      </c>
      <c r="G112" s="31" t="s">
        <v>526</v>
      </c>
      <c r="H112" s="31" t="s">
        <v>482</v>
      </c>
      <c r="I112" s="31" t="s">
        <v>533</v>
      </c>
      <c r="J112" s="43" t="s">
        <v>524</v>
      </c>
    </row>
    <row r="113" spans="1:10" ht="15">
      <c r="A113" s="30">
        <v>109</v>
      </c>
      <c r="B113" s="31">
        <v>10</v>
      </c>
      <c r="C113" s="31" t="s">
        <v>501</v>
      </c>
      <c r="D113" s="31" t="s">
        <v>471</v>
      </c>
      <c r="E113" s="31" t="s">
        <v>475</v>
      </c>
      <c r="F113" s="31" t="s">
        <v>473</v>
      </c>
      <c r="G113" s="31" t="s">
        <v>522</v>
      </c>
      <c r="H113" s="31" t="s">
        <v>480</v>
      </c>
      <c r="I113" s="31" t="s">
        <v>523</v>
      </c>
      <c r="J113" s="43" t="s">
        <v>524</v>
      </c>
    </row>
    <row r="114" spans="1:10" ht="15">
      <c r="A114" s="30">
        <v>110</v>
      </c>
      <c r="B114" s="31">
        <v>10</v>
      </c>
      <c r="C114" s="31" t="s">
        <v>501</v>
      </c>
      <c r="D114" s="31" t="s">
        <v>471</v>
      </c>
      <c r="E114" s="31" t="s">
        <v>477</v>
      </c>
      <c r="F114" s="31" t="s">
        <v>473</v>
      </c>
      <c r="G114" s="31" t="s">
        <v>522</v>
      </c>
      <c r="H114" s="31" t="s">
        <v>481</v>
      </c>
      <c r="I114" s="31" t="s">
        <v>525</v>
      </c>
      <c r="J114" s="43" t="s">
        <v>524</v>
      </c>
    </row>
    <row r="115" spans="1:10" ht="15">
      <c r="A115" s="30">
        <v>111</v>
      </c>
      <c r="B115" s="31">
        <v>10</v>
      </c>
      <c r="C115" s="31" t="s">
        <v>501</v>
      </c>
      <c r="D115" s="31" t="s">
        <v>471</v>
      </c>
      <c r="E115" s="31" t="s">
        <v>472</v>
      </c>
      <c r="F115" s="31" t="s">
        <v>473</v>
      </c>
      <c r="G115" s="31" t="s">
        <v>526</v>
      </c>
      <c r="H115" s="31" t="s">
        <v>482</v>
      </c>
      <c r="I115" s="31" t="s">
        <v>527</v>
      </c>
      <c r="J115" s="43" t="s">
        <v>524</v>
      </c>
    </row>
    <row r="116" spans="1:10" ht="15">
      <c r="A116" s="30">
        <v>112</v>
      </c>
      <c r="B116" s="31">
        <v>10</v>
      </c>
      <c r="C116" s="31" t="s">
        <v>501</v>
      </c>
      <c r="D116" s="31" t="s">
        <v>479</v>
      </c>
      <c r="E116" s="31" t="s">
        <v>477</v>
      </c>
      <c r="F116" s="31" t="s">
        <v>473</v>
      </c>
      <c r="G116" s="31" t="s">
        <v>522</v>
      </c>
      <c r="H116" s="31" t="s">
        <v>488</v>
      </c>
      <c r="I116" s="31" t="s">
        <v>528</v>
      </c>
      <c r="J116" s="43" t="s">
        <v>524</v>
      </c>
    </row>
    <row r="117" spans="1:10" ht="15">
      <c r="A117" s="30">
        <v>113</v>
      </c>
      <c r="B117" s="31">
        <v>10</v>
      </c>
      <c r="C117" s="31" t="s">
        <v>501</v>
      </c>
      <c r="D117" s="31" t="s">
        <v>479</v>
      </c>
      <c r="E117" s="31" t="s">
        <v>472</v>
      </c>
      <c r="F117" s="31" t="s">
        <v>473</v>
      </c>
      <c r="G117" s="31" t="s">
        <v>526</v>
      </c>
      <c r="H117" s="31" t="s">
        <v>484</v>
      </c>
      <c r="I117" s="31" t="s">
        <v>529</v>
      </c>
      <c r="J117" s="43" t="s">
        <v>524</v>
      </c>
    </row>
    <row r="118" spans="1:10" ht="15">
      <c r="A118" s="30">
        <v>114</v>
      </c>
      <c r="B118" s="31">
        <v>10</v>
      </c>
      <c r="C118" s="31" t="s">
        <v>501</v>
      </c>
      <c r="D118" s="31" t="s">
        <v>479</v>
      </c>
      <c r="E118" s="31" t="s">
        <v>475</v>
      </c>
      <c r="F118" s="31" t="s">
        <v>473</v>
      </c>
      <c r="G118" s="31" t="s">
        <v>526</v>
      </c>
      <c r="H118" s="31" t="s">
        <v>485</v>
      </c>
      <c r="I118" s="31" t="s">
        <v>530</v>
      </c>
      <c r="J118" s="43" t="s">
        <v>524</v>
      </c>
    </row>
    <row r="119" spans="1:10" ht="15">
      <c r="A119" s="30">
        <v>115</v>
      </c>
      <c r="B119" s="31">
        <v>10</v>
      </c>
      <c r="C119" s="31" t="s">
        <v>501</v>
      </c>
      <c r="D119" s="31" t="s">
        <v>483</v>
      </c>
      <c r="E119" s="31" t="s">
        <v>472</v>
      </c>
      <c r="F119" s="31" t="s">
        <v>473</v>
      </c>
      <c r="G119" s="31" t="s">
        <v>522</v>
      </c>
      <c r="H119" s="31" t="s">
        <v>487</v>
      </c>
      <c r="I119" s="31" t="s">
        <v>531</v>
      </c>
      <c r="J119" s="43" t="s">
        <v>524</v>
      </c>
    </row>
    <row r="120" spans="1:10" ht="15">
      <c r="A120" s="30">
        <v>116</v>
      </c>
      <c r="B120" s="31">
        <v>10</v>
      </c>
      <c r="C120" s="31" t="s">
        <v>501</v>
      </c>
      <c r="D120" s="31" t="s">
        <v>483</v>
      </c>
      <c r="E120" s="31" t="s">
        <v>477</v>
      </c>
      <c r="F120" s="31" t="s">
        <v>473</v>
      </c>
      <c r="G120" s="31" t="s">
        <v>526</v>
      </c>
      <c r="H120" s="31" t="s">
        <v>489</v>
      </c>
      <c r="I120" s="31" t="s">
        <v>532</v>
      </c>
      <c r="J120" s="43" t="s">
        <v>524</v>
      </c>
    </row>
    <row r="121" spans="1:10" ht="15">
      <c r="A121" s="30">
        <v>117</v>
      </c>
      <c r="B121" s="31">
        <v>10</v>
      </c>
      <c r="C121" s="31" t="s">
        <v>501</v>
      </c>
      <c r="D121" s="31" t="s">
        <v>486</v>
      </c>
      <c r="E121" s="31" t="s">
        <v>475</v>
      </c>
      <c r="F121" s="31" t="s">
        <v>473</v>
      </c>
      <c r="G121" s="31" t="s">
        <v>522</v>
      </c>
      <c r="H121" s="31" t="s">
        <v>474</v>
      </c>
      <c r="I121" s="31" t="s">
        <v>523</v>
      </c>
      <c r="J121" s="43" t="s">
        <v>524</v>
      </c>
    </row>
    <row r="122" spans="1:10" ht="15">
      <c r="A122" s="30">
        <v>118</v>
      </c>
      <c r="B122" s="31">
        <v>10</v>
      </c>
      <c r="C122" s="31" t="s">
        <v>501</v>
      </c>
      <c r="D122" s="31" t="s">
        <v>486</v>
      </c>
      <c r="E122" s="31" t="s">
        <v>477</v>
      </c>
      <c r="F122" s="31" t="s">
        <v>473</v>
      </c>
      <c r="G122" s="31" t="s">
        <v>522</v>
      </c>
      <c r="H122" s="31" t="s">
        <v>476</v>
      </c>
      <c r="I122" s="31" t="s">
        <v>525</v>
      </c>
      <c r="J122" s="43" t="s">
        <v>524</v>
      </c>
    </row>
    <row r="123" spans="1:10" ht="15">
      <c r="A123" s="30">
        <v>119</v>
      </c>
      <c r="B123" s="31">
        <v>10</v>
      </c>
      <c r="C123" s="31" t="s">
        <v>501</v>
      </c>
      <c r="D123" s="31" t="s">
        <v>486</v>
      </c>
      <c r="E123" s="31" t="s">
        <v>472</v>
      </c>
      <c r="F123" s="31" t="s">
        <v>473</v>
      </c>
      <c r="G123" s="31" t="s">
        <v>526</v>
      </c>
      <c r="H123" s="31" t="s">
        <v>492</v>
      </c>
      <c r="I123" s="31" t="s">
        <v>527</v>
      </c>
      <c r="J123" s="43" t="s">
        <v>524</v>
      </c>
    </row>
    <row r="124" spans="1:10" ht="15">
      <c r="A124" s="30">
        <v>120</v>
      </c>
      <c r="B124" s="31">
        <v>10</v>
      </c>
      <c r="C124" s="31" t="s">
        <v>501</v>
      </c>
      <c r="D124" s="31" t="s">
        <v>490</v>
      </c>
      <c r="E124" s="31" t="s">
        <v>491</v>
      </c>
      <c r="F124" s="31" t="s">
        <v>473</v>
      </c>
      <c r="G124" s="31" t="s">
        <v>526</v>
      </c>
      <c r="H124" s="31" t="s">
        <v>478</v>
      </c>
      <c r="I124" s="31" t="s">
        <v>533</v>
      </c>
      <c r="J124" s="43" t="s">
        <v>524</v>
      </c>
    </row>
    <row r="125" spans="1:10" ht="15">
      <c r="A125" s="30">
        <v>121</v>
      </c>
      <c r="B125" s="31">
        <v>11</v>
      </c>
      <c r="C125" s="31" t="s">
        <v>502</v>
      </c>
      <c r="D125" s="31" t="s">
        <v>471</v>
      </c>
      <c r="E125" s="31" t="s">
        <v>477</v>
      </c>
      <c r="F125" s="31" t="s">
        <v>473</v>
      </c>
      <c r="G125" s="31" t="s">
        <v>522</v>
      </c>
      <c r="H125" s="31" t="s">
        <v>480</v>
      </c>
      <c r="I125" s="31" t="s">
        <v>523</v>
      </c>
      <c r="J125" s="43" t="s">
        <v>524</v>
      </c>
    </row>
    <row r="126" spans="1:10" ht="15">
      <c r="A126" s="30">
        <v>122</v>
      </c>
      <c r="B126" s="31">
        <v>11</v>
      </c>
      <c r="C126" s="31" t="s">
        <v>502</v>
      </c>
      <c r="D126" s="31" t="s">
        <v>471</v>
      </c>
      <c r="E126" s="31" t="s">
        <v>472</v>
      </c>
      <c r="F126" s="31" t="s">
        <v>473</v>
      </c>
      <c r="G126" s="31" t="s">
        <v>526</v>
      </c>
      <c r="H126" s="31" t="s">
        <v>478</v>
      </c>
      <c r="I126" s="31" t="s">
        <v>525</v>
      </c>
      <c r="J126" s="43" t="s">
        <v>524</v>
      </c>
    </row>
    <row r="127" spans="1:10" ht="15">
      <c r="A127" s="30">
        <v>123</v>
      </c>
      <c r="B127" s="31">
        <v>11</v>
      </c>
      <c r="C127" s="31" t="s">
        <v>502</v>
      </c>
      <c r="D127" s="31" t="s">
        <v>471</v>
      </c>
      <c r="E127" s="31" t="s">
        <v>475</v>
      </c>
      <c r="F127" s="31" t="s">
        <v>473</v>
      </c>
      <c r="G127" s="31" t="s">
        <v>526</v>
      </c>
      <c r="H127" s="31" t="s">
        <v>482</v>
      </c>
      <c r="I127" s="31" t="s">
        <v>527</v>
      </c>
      <c r="J127" s="43" t="s">
        <v>524</v>
      </c>
    </row>
    <row r="128" spans="1:10" ht="15">
      <c r="A128" s="30">
        <v>124</v>
      </c>
      <c r="B128" s="31">
        <v>11</v>
      </c>
      <c r="C128" s="31" t="s">
        <v>502</v>
      </c>
      <c r="D128" s="31" t="s">
        <v>479</v>
      </c>
      <c r="E128" s="31" t="s">
        <v>472</v>
      </c>
      <c r="F128" s="31" t="s">
        <v>473</v>
      </c>
      <c r="G128" s="31" t="s">
        <v>522</v>
      </c>
      <c r="H128" s="31" t="s">
        <v>481</v>
      </c>
      <c r="I128" s="31" t="s">
        <v>528</v>
      </c>
      <c r="J128" s="43" t="s">
        <v>524</v>
      </c>
    </row>
    <row r="129" spans="1:10" ht="15">
      <c r="A129" s="30">
        <v>125</v>
      </c>
      <c r="B129" s="31">
        <v>11</v>
      </c>
      <c r="C129" s="31" t="s">
        <v>502</v>
      </c>
      <c r="D129" s="31" t="s">
        <v>479</v>
      </c>
      <c r="E129" s="31" t="s">
        <v>475</v>
      </c>
      <c r="F129" s="31" t="s">
        <v>473</v>
      </c>
      <c r="G129" s="31" t="s">
        <v>526</v>
      </c>
      <c r="H129" s="31" t="s">
        <v>484</v>
      </c>
      <c r="I129" s="31" t="s">
        <v>529</v>
      </c>
      <c r="J129" s="43" t="s">
        <v>524</v>
      </c>
    </row>
    <row r="130" spans="1:10" ht="15">
      <c r="A130" s="30">
        <v>126</v>
      </c>
      <c r="B130" s="31">
        <v>11</v>
      </c>
      <c r="C130" s="31" t="s">
        <v>502</v>
      </c>
      <c r="D130" s="31" t="s">
        <v>479</v>
      </c>
      <c r="E130" s="31" t="s">
        <v>477</v>
      </c>
      <c r="F130" s="31" t="s">
        <v>473</v>
      </c>
      <c r="G130" s="31" t="s">
        <v>526</v>
      </c>
      <c r="H130" s="31" t="s">
        <v>485</v>
      </c>
      <c r="I130" s="31" t="s">
        <v>530</v>
      </c>
      <c r="J130" s="43" t="s">
        <v>524</v>
      </c>
    </row>
    <row r="131" spans="1:10" ht="15">
      <c r="A131" s="30">
        <v>127</v>
      </c>
      <c r="B131" s="31">
        <v>11</v>
      </c>
      <c r="C131" s="31" t="s">
        <v>502</v>
      </c>
      <c r="D131" s="31" t="s">
        <v>483</v>
      </c>
      <c r="E131" s="31" t="s">
        <v>477</v>
      </c>
      <c r="F131" s="31" t="s">
        <v>473</v>
      </c>
      <c r="G131" s="31" t="s">
        <v>522</v>
      </c>
      <c r="H131" s="31" t="s">
        <v>487</v>
      </c>
      <c r="I131" s="31" t="s">
        <v>531</v>
      </c>
      <c r="J131" s="43" t="s">
        <v>524</v>
      </c>
    </row>
    <row r="132" spans="1:10" ht="15">
      <c r="A132" s="30">
        <v>128</v>
      </c>
      <c r="B132" s="31">
        <v>11</v>
      </c>
      <c r="C132" s="31" t="s">
        <v>502</v>
      </c>
      <c r="D132" s="31" t="s">
        <v>483</v>
      </c>
      <c r="E132" s="31" t="s">
        <v>472</v>
      </c>
      <c r="F132" s="31" t="s">
        <v>473</v>
      </c>
      <c r="G132" s="31" t="s">
        <v>522</v>
      </c>
      <c r="H132" s="31" t="s">
        <v>488</v>
      </c>
      <c r="I132" s="31" t="s">
        <v>532</v>
      </c>
      <c r="J132" s="43" t="s">
        <v>524</v>
      </c>
    </row>
    <row r="133" spans="1:10" ht="15">
      <c r="A133" s="30">
        <v>129</v>
      </c>
      <c r="B133" s="31">
        <v>11</v>
      </c>
      <c r="C133" s="31" t="s">
        <v>502</v>
      </c>
      <c r="D133" s="31" t="s">
        <v>486</v>
      </c>
      <c r="E133" s="31" t="s">
        <v>477</v>
      </c>
      <c r="F133" s="31" t="s">
        <v>473</v>
      </c>
      <c r="G133" s="31" t="s">
        <v>522</v>
      </c>
      <c r="H133" s="31" t="s">
        <v>474</v>
      </c>
      <c r="I133" s="31" t="s">
        <v>523</v>
      </c>
      <c r="J133" s="43" t="s">
        <v>524</v>
      </c>
    </row>
    <row r="134" spans="1:10" ht="15">
      <c r="A134" s="30">
        <v>130</v>
      </c>
      <c r="B134" s="31">
        <v>11</v>
      </c>
      <c r="C134" s="31" t="s">
        <v>502</v>
      </c>
      <c r="D134" s="31" t="s">
        <v>486</v>
      </c>
      <c r="E134" s="31" t="s">
        <v>475</v>
      </c>
      <c r="F134" s="31" t="s">
        <v>473</v>
      </c>
      <c r="G134" s="31" t="s">
        <v>526</v>
      </c>
      <c r="H134" s="31" t="s">
        <v>492</v>
      </c>
      <c r="I134" s="31" t="s">
        <v>525</v>
      </c>
      <c r="J134" s="43" t="s">
        <v>524</v>
      </c>
    </row>
    <row r="135" spans="1:10" ht="15">
      <c r="A135" s="30">
        <v>131</v>
      </c>
      <c r="B135" s="31">
        <v>11</v>
      </c>
      <c r="C135" s="31" t="s">
        <v>502</v>
      </c>
      <c r="D135" s="31" t="s">
        <v>486</v>
      </c>
      <c r="E135" s="31" t="s">
        <v>472</v>
      </c>
      <c r="F135" s="31" t="s">
        <v>473</v>
      </c>
      <c r="G135" s="31" t="s">
        <v>526</v>
      </c>
      <c r="H135" s="31" t="s">
        <v>489</v>
      </c>
      <c r="I135" s="31" t="s">
        <v>527</v>
      </c>
      <c r="J135" s="43" t="s">
        <v>524</v>
      </c>
    </row>
    <row r="136" spans="1:10" ht="15">
      <c r="A136" s="30">
        <v>132</v>
      </c>
      <c r="B136" s="31">
        <v>11</v>
      </c>
      <c r="C136" s="31" t="s">
        <v>502</v>
      </c>
      <c r="D136" s="31" t="s">
        <v>490</v>
      </c>
      <c r="E136" s="31" t="s">
        <v>491</v>
      </c>
      <c r="F136" s="31" t="s">
        <v>473</v>
      </c>
      <c r="G136" s="31" t="s">
        <v>522</v>
      </c>
      <c r="H136" s="31" t="s">
        <v>476</v>
      </c>
      <c r="I136" s="31" t="s">
        <v>533</v>
      </c>
      <c r="J136" s="43" t="s">
        <v>524</v>
      </c>
    </row>
    <row r="137" spans="1:10" ht="15">
      <c r="A137" s="30">
        <v>133</v>
      </c>
      <c r="B137" s="31">
        <v>12</v>
      </c>
      <c r="C137" s="31" t="s">
        <v>503</v>
      </c>
      <c r="D137" s="31" t="s">
        <v>471</v>
      </c>
      <c r="E137" s="31" t="s">
        <v>472</v>
      </c>
      <c r="F137" s="31" t="s">
        <v>473</v>
      </c>
      <c r="G137" s="31" t="s">
        <v>522</v>
      </c>
      <c r="H137" s="31" t="s">
        <v>476</v>
      </c>
      <c r="I137" s="31" t="s">
        <v>523</v>
      </c>
      <c r="J137" s="43" t="s">
        <v>524</v>
      </c>
    </row>
    <row r="138" spans="1:10" ht="15">
      <c r="A138" s="30">
        <v>134</v>
      </c>
      <c r="B138" s="31">
        <v>12</v>
      </c>
      <c r="C138" s="31" t="s">
        <v>503</v>
      </c>
      <c r="D138" s="31" t="s">
        <v>471</v>
      </c>
      <c r="E138" s="31" t="s">
        <v>475</v>
      </c>
      <c r="F138" s="31" t="s">
        <v>473</v>
      </c>
      <c r="G138" s="31" t="s">
        <v>526</v>
      </c>
      <c r="H138" s="31" t="s">
        <v>478</v>
      </c>
      <c r="I138" s="31" t="s">
        <v>525</v>
      </c>
      <c r="J138" s="43" t="s">
        <v>524</v>
      </c>
    </row>
    <row r="139" spans="1:10" ht="15">
      <c r="A139" s="30">
        <v>135</v>
      </c>
      <c r="B139" s="31">
        <v>12</v>
      </c>
      <c r="C139" s="31" t="s">
        <v>503</v>
      </c>
      <c r="D139" s="31" t="s">
        <v>471</v>
      </c>
      <c r="E139" s="31" t="s">
        <v>477</v>
      </c>
      <c r="F139" s="31" t="s">
        <v>473</v>
      </c>
      <c r="G139" s="31" t="s">
        <v>526</v>
      </c>
      <c r="H139" s="31" t="s">
        <v>482</v>
      </c>
      <c r="I139" s="31" t="s">
        <v>527</v>
      </c>
      <c r="J139" s="43" t="s">
        <v>524</v>
      </c>
    </row>
    <row r="140" spans="1:10" ht="15">
      <c r="A140" s="30">
        <v>136</v>
      </c>
      <c r="B140" s="31">
        <v>12</v>
      </c>
      <c r="C140" s="31" t="s">
        <v>503</v>
      </c>
      <c r="D140" s="31" t="s">
        <v>479</v>
      </c>
      <c r="E140" s="31" t="s">
        <v>472</v>
      </c>
      <c r="F140" s="31" t="s">
        <v>473</v>
      </c>
      <c r="G140" s="31" t="s">
        <v>522</v>
      </c>
      <c r="H140" s="31" t="s">
        <v>480</v>
      </c>
      <c r="I140" s="31" t="s">
        <v>528</v>
      </c>
      <c r="J140" s="43" t="s">
        <v>524</v>
      </c>
    </row>
    <row r="141" spans="1:10" ht="15">
      <c r="A141" s="30">
        <v>137</v>
      </c>
      <c r="B141" s="31">
        <v>12</v>
      </c>
      <c r="C141" s="31" t="s">
        <v>503</v>
      </c>
      <c r="D141" s="31" t="s">
        <v>479</v>
      </c>
      <c r="E141" s="31" t="s">
        <v>475</v>
      </c>
      <c r="F141" s="31" t="s">
        <v>473</v>
      </c>
      <c r="G141" s="31" t="s">
        <v>522</v>
      </c>
      <c r="H141" s="31" t="s">
        <v>481</v>
      </c>
      <c r="I141" s="31" t="s">
        <v>529</v>
      </c>
      <c r="J141" s="43" t="s">
        <v>524</v>
      </c>
    </row>
    <row r="142" spans="1:10" ht="15">
      <c r="A142" s="30">
        <v>138</v>
      </c>
      <c r="B142" s="31">
        <v>12</v>
      </c>
      <c r="C142" s="31" t="s">
        <v>503</v>
      </c>
      <c r="D142" s="31" t="s">
        <v>479</v>
      </c>
      <c r="E142" s="31" t="s">
        <v>477</v>
      </c>
      <c r="F142" s="31" t="s">
        <v>473</v>
      </c>
      <c r="G142" s="31" t="s">
        <v>526</v>
      </c>
      <c r="H142" s="31" t="s">
        <v>484</v>
      </c>
      <c r="I142" s="31" t="s">
        <v>530</v>
      </c>
      <c r="J142" s="43" t="s">
        <v>524</v>
      </c>
    </row>
    <row r="143" spans="1:10" ht="15">
      <c r="A143" s="30">
        <v>139</v>
      </c>
      <c r="B143" s="31">
        <v>12</v>
      </c>
      <c r="C143" s="31" t="s">
        <v>503</v>
      </c>
      <c r="D143" s="31" t="s">
        <v>483</v>
      </c>
      <c r="E143" s="31" t="s">
        <v>477</v>
      </c>
      <c r="F143" s="31" t="s">
        <v>473</v>
      </c>
      <c r="G143" s="31" t="s">
        <v>522</v>
      </c>
      <c r="H143" s="31" t="s">
        <v>488</v>
      </c>
      <c r="I143" s="31" t="s">
        <v>531</v>
      </c>
      <c r="J143" s="43" t="s">
        <v>524</v>
      </c>
    </row>
    <row r="144" spans="1:10" ht="15">
      <c r="A144" s="30">
        <v>140</v>
      </c>
      <c r="B144" s="31">
        <v>12</v>
      </c>
      <c r="C144" s="31" t="s">
        <v>503</v>
      </c>
      <c r="D144" s="31" t="s">
        <v>483</v>
      </c>
      <c r="E144" s="31" t="s">
        <v>472</v>
      </c>
      <c r="F144" s="31" t="s">
        <v>473</v>
      </c>
      <c r="G144" s="31" t="s">
        <v>526</v>
      </c>
      <c r="H144" s="31" t="s">
        <v>485</v>
      </c>
      <c r="I144" s="31" t="s">
        <v>532</v>
      </c>
      <c r="J144" s="43" t="s">
        <v>524</v>
      </c>
    </row>
    <row r="145" spans="1:10" ht="15">
      <c r="A145" s="30">
        <v>141</v>
      </c>
      <c r="B145" s="31">
        <v>12</v>
      </c>
      <c r="C145" s="31" t="s">
        <v>503</v>
      </c>
      <c r="D145" s="31" t="s">
        <v>486</v>
      </c>
      <c r="E145" s="31" t="s">
        <v>472</v>
      </c>
      <c r="F145" s="31" t="s">
        <v>473</v>
      </c>
      <c r="G145" s="31" t="s">
        <v>522</v>
      </c>
      <c r="H145" s="31" t="s">
        <v>487</v>
      </c>
      <c r="I145" s="31" t="s">
        <v>523</v>
      </c>
      <c r="J145" s="43" t="s">
        <v>524</v>
      </c>
    </row>
    <row r="146" spans="1:10" ht="15">
      <c r="A146" s="30">
        <v>142</v>
      </c>
      <c r="B146" s="31">
        <v>12</v>
      </c>
      <c r="C146" s="31" t="s">
        <v>503</v>
      </c>
      <c r="D146" s="31" t="s">
        <v>486</v>
      </c>
      <c r="E146" s="31" t="s">
        <v>477</v>
      </c>
      <c r="F146" s="31" t="s">
        <v>473</v>
      </c>
      <c r="G146" s="31" t="s">
        <v>526</v>
      </c>
      <c r="H146" s="31" t="s">
        <v>492</v>
      </c>
      <c r="I146" s="31" t="s">
        <v>525</v>
      </c>
      <c r="J146" s="43" t="s">
        <v>524</v>
      </c>
    </row>
    <row r="147" spans="1:10" ht="15">
      <c r="A147" s="30">
        <v>143</v>
      </c>
      <c r="B147" s="31">
        <v>12</v>
      </c>
      <c r="C147" s="31" t="s">
        <v>503</v>
      </c>
      <c r="D147" s="31" t="s">
        <v>486</v>
      </c>
      <c r="E147" s="31" t="s">
        <v>475</v>
      </c>
      <c r="F147" s="31" t="s">
        <v>473</v>
      </c>
      <c r="G147" s="31" t="s">
        <v>526</v>
      </c>
      <c r="H147" s="31" t="s">
        <v>489</v>
      </c>
      <c r="I147" s="31" t="s">
        <v>527</v>
      </c>
      <c r="J147" s="43" t="s">
        <v>524</v>
      </c>
    </row>
    <row r="148" spans="1:10" ht="15">
      <c r="A148" s="30">
        <v>144</v>
      </c>
      <c r="B148" s="31">
        <v>12</v>
      </c>
      <c r="C148" s="31" t="s">
        <v>503</v>
      </c>
      <c r="D148" s="31" t="s">
        <v>490</v>
      </c>
      <c r="E148" s="31" t="s">
        <v>491</v>
      </c>
      <c r="F148" s="31" t="s">
        <v>473</v>
      </c>
      <c r="G148" s="31" t="s">
        <v>522</v>
      </c>
      <c r="H148" s="31" t="s">
        <v>474</v>
      </c>
      <c r="I148" s="31" t="s">
        <v>533</v>
      </c>
      <c r="J148" s="43" t="s">
        <v>524</v>
      </c>
    </row>
    <row r="149" spans="1:10" ht="15">
      <c r="A149" s="30">
        <v>145</v>
      </c>
      <c r="B149" s="31">
        <v>13</v>
      </c>
      <c r="C149" s="31" t="s">
        <v>538</v>
      </c>
      <c r="D149" s="31" t="s">
        <v>486</v>
      </c>
      <c r="E149" s="31" t="s">
        <v>472</v>
      </c>
      <c r="F149" s="31" t="s">
        <v>539</v>
      </c>
      <c r="G149" s="31"/>
      <c r="H149" s="31" t="s">
        <v>540</v>
      </c>
      <c r="I149" s="31"/>
      <c r="J149" s="43" t="s">
        <v>556</v>
      </c>
    </row>
    <row r="150" spans="1:10" ht="15">
      <c r="A150" s="30">
        <v>146</v>
      </c>
      <c r="B150" s="31">
        <v>13</v>
      </c>
      <c r="C150" s="31" t="s">
        <v>538</v>
      </c>
      <c r="D150" s="31" t="s">
        <v>486</v>
      </c>
      <c r="E150" s="31" t="s">
        <v>475</v>
      </c>
      <c r="F150" s="31" t="s">
        <v>539</v>
      </c>
      <c r="G150" s="31"/>
      <c r="H150" s="31" t="s">
        <v>540</v>
      </c>
      <c r="I150" s="31"/>
      <c r="J150" s="43" t="s">
        <v>556</v>
      </c>
    </row>
    <row r="151" spans="1:10" ht="15">
      <c r="A151" s="30">
        <v>147</v>
      </c>
      <c r="B151" s="31">
        <v>13</v>
      </c>
      <c r="C151" s="31" t="s">
        <v>538</v>
      </c>
      <c r="D151" s="31" t="s">
        <v>486</v>
      </c>
      <c r="E151" s="31" t="s">
        <v>477</v>
      </c>
      <c r="F151" s="31" t="s">
        <v>539</v>
      </c>
      <c r="G151" s="31"/>
      <c r="H151" s="31" t="s">
        <v>540</v>
      </c>
      <c r="I151" s="31"/>
      <c r="J151" s="43" t="s">
        <v>556</v>
      </c>
    </row>
    <row r="152" spans="1:10" ht="15">
      <c r="A152" s="30">
        <v>148</v>
      </c>
      <c r="B152" s="31">
        <v>13</v>
      </c>
      <c r="C152" s="31" t="s">
        <v>538</v>
      </c>
      <c r="D152" s="31" t="s">
        <v>483</v>
      </c>
      <c r="E152" s="31" t="s">
        <v>472</v>
      </c>
      <c r="F152" s="31" t="s">
        <v>539</v>
      </c>
      <c r="G152" s="31"/>
      <c r="H152" s="31" t="s">
        <v>540</v>
      </c>
      <c r="I152" s="31"/>
      <c r="J152" s="43" t="s">
        <v>556</v>
      </c>
    </row>
    <row r="153" spans="1:10" ht="15">
      <c r="A153" s="30">
        <v>149</v>
      </c>
      <c r="B153" s="31">
        <v>13</v>
      </c>
      <c r="C153" s="31" t="s">
        <v>538</v>
      </c>
      <c r="D153" s="31" t="s">
        <v>483</v>
      </c>
      <c r="E153" s="31" t="s">
        <v>477</v>
      </c>
      <c r="F153" s="31" t="s">
        <v>539</v>
      </c>
      <c r="G153" s="31"/>
      <c r="H153" s="31" t="s">
        <v>540</v>
      </c>
      <c r="I153" s="31"/>
      <c r="J153" s="43" t="s">
        <v>556</v>
      </c>
    </row>
    <row r="154" spans="1:10" ht="15">
      <c r="A154" s="30">
        <v>150</v>
      </c>
      <c r="B154" s="31">
        <v>14</v>
      </c>
      <c r="C154" s="31" t="s">
        <v>542</v>
      </c>
      <c r="D154" s="31" t="s">
        <v>486</v>
      </c>
      <c r="E154" s="31" t="s">
        <v>472</v>
      </c>
      <c r="F154" s="31" t="s">
        <v>543</v>
      </c>
      <c r="G154" s="31"/>
      <c r="H154" s="31" t="s">
        <v>544</v>
      </c>
      <c r="I154" s="31"/>
      <c r="J154" s="43" t="s">
        <v>556</v>
      </c>
    </row>
    <row r="155" spans="1:10" ht="15">
      <c r="A155" s="30">
        <v>151</v>
      </c>
      <c r="B155" s="31">
        <v>14</v>
      </c>
      <c r="C155" s="31" t="s">
        <v>542</v>
      </c>
      <c r="D155" s="31" t="s">
        <v>486</v>
      </c>
      <c r="E155" s="31" t="s">
        <v>475</v>
      </c>
      <c r="F155" s="31" t="s">
        <v>543</v>
      </c>
      <c r="G155" s="31"/>
      <c r="H155" s="31" t="s">
        <v>544</v>
      </c>
      <c r="I155" s="31"/>
      <c r="J155" s="43" t="s">
        <v>556</v>
      </c>
    </row>
    <row r="156" spans="1:10" ht="15">
      <c r="A156" s="30">
        <v>152</v>
      </c>
      <c r="B156" s="31">
        <v>14</v>
      </c>
      <c r="C156" s="31" t="s">
        <v>542</v>
      </c>
      <c r="D156" s="31" t="s">
        <v>486</v>
      </c>
      <c r="E156" s="31" t="s">
        <v>477</v>
      </c>
      <c r="F156" s="31" t="s">
        <v>543</v>
      </c>
      <c r="G156" s="31"/>
      <c r="H156" s="31" t="s">
        <v>544</v>
      </c>
      <c r="I156" s="31"/>
      <c r="J156" s="43" t="s">
        <v>556</v>
      </c>
    </row>
    <row r="157" spans="1:10" ht="15">
      <c r="A157" s="30">
        <v>153</v>
      </c>
      <c r="B157" s="31">
        <v>14</v>
      </c>
      <c r="C157" s="31" t="s">
        <v>542</v>
      </c>
      <c r="D157" s="31" t="s">
        <v>483</v>
      </c>
      <c r="E157" s="31" t="s">
        <v>472</v>
      </c>
      <c r="F157" s="31" t="s">
        <v>543</v>
      </c>
      <c r="G157" s="31"/>
      <c r="H157" s="31" t="s">
        <v>544</v>
      </c>
      <c r="I157" s="31"/>
      <c r="J157" s="43" t="s">
        <v>556</v>
      </c>
    </row>
    <row r="158" spans="1:10" ht="15">
      <c r="A158" s="30">
        <v>154</v>
      </c>
      <c r="B158" s="31">
        <v>14</v>
      </c>
      <c r="C158" s="31" t="s">
        <v>542</v>
      </c>
      <c r="D158" s="31" t="s">
        <v>483</v>
      </c>
      <c r="E158" s="31" t="s">
        <v>477</v>
      </c>
      <c r="F158" s="31" t="s">
        <v>543</v>
      </c>
      <c r="G158" s="31"/>
      <c r="H158" s="31" t="s">
        <v>544</v>
      </c>
      <c r="I158" s="31"/>
      <c r="J158" s="43" t="s">
        <v>556</v>
      </c>
    </row>
    <row r="159" spans="1:10" ht="15">
      <c r="A159" s="30">
        <v>155</v>
      </c>
      <c r="B159" s="31">
        <v>15</v>
      </c>
      <c r="C159" s="31" t="s">
        <v>545</v>
      </c>
      <c r="D159" s="31" t="s">
        <v>471</v>
      </c>
      <c r="E159" s="31" t="s">
        <v>472</v>
      </c>
      <c r="F159" s="31" t="s">
        <v>539</v>
      </c>
      <c r="G159" s="31"/>
      <c r="H159" s="31" t="s">
        <v>540</v>
      </c>
      <c r="I159" s="31"/>
      <c r="J159" s="43" t="s">
        <v>556</v>
      </c>
    </row>
    <row r="160" spans="1:10" ht="15">
      <c r="A160" s="30">
        <v>156</v>
      </c>
      <c r="B160" s="31">
        <v>15</v>
      </c>
      <c r="C160" s="31" t="s">
        <v>545</v>
      </c>
      <c r="D160" s="31" t="s">
        <v>471</v>
      </c>
      <c r="E160" s="31" t="s">
        <v>475</v>
      </c>
      <c r="F160" s="31" t="s">
        <v>539</v>
      </c>
      <c r="G160" s="31"/>
      <c r="H160" s="31" t="s">
        <v>540</v>
      </c>
      <c r="I160" s="31"/>
      <c r="J160" s="43" t="s">
        <v>556</v>
      </c>
    </row>
    <row r="161" spans="1:10" ht="15">
      <c r="A161" s="30">
        <v>157</v>
      </c>
      <c r="B161" s="31">
        <v>15</v>
      </c>
      <c r="C161" s="31" t="s">
        <v>545</v>
      </c>
      <c r="D161" s="31" t="s">
        <v>471</v>
      </c>
      <c r="E161" s="31" t="s">
        <v>477</v>
      </c>
      <c r="F161" s="31" t="s">
        <v>539</v>
      </c>
      <c r="G161" s="31"/>
      <c r="H161" s="31" t="s">
        <v>540</v>
      </c>
      <c r="I161" s="31"/>
      <c r="J161" s="43" t="s">
        <v>556</v>
      </c>
    </row>
    <row r="162" spans="1:10" ht="15">
      <c r="A162" s="30">
        <v>158</v>
      </c>
      <c r="B162" s="31">
        <v>16</v>
      </c>
      <c r="C162" s="31" t="s">
        <v>546</v>
      </c>
      <c r="D162" s="31" t="s">
        <v>471</v>
      </c>
      <c r="E162" s="31" t="s">
        <v>472</v>
      </c>
      <c r="F162" s="31" t="s">
        <v>543</v>
      </c>
      <c r="G162" s="31"/>
      <c r="H162" s="31" t="s">
        <v>544</v>
      </c>
      <c r="I162" s="31"/>
      <c r="J162" s="43" t="s">
        <v>556</v>
      </c>
    </row>
    <row r="163" spans="1:10" ht="15">
      <c r="A163" s="30">
        <v>159</v>
      </c>
      <c r="B163" s="31">
        <v>16</v>
      </c>
      <c r="C163" s="31" t="s">
        <v>546</v>
      </c>
      <c r="D163" s="31" t="s">
        <v>471</v>
      </c>
      <c r="E163" s="31" t="s">
        <v>475</v>
      </c>
      <c r="F163" s="31" t="s">
        <v>543</v>
      </c>
      <c r="G163" s="31"/>
      <c r="H163" s="31" t="s">
        <v>544</v>
      </c>
      <c r="I163" s="31"/>
      <c r="J163" s="43" t="s">
        <v>556</v>
      </c>
    </row>
    <row r="164" spans="1:10" ht="15">
      <c r="A164" s="30">
        <v>160</v>
      </c>
      <c r="B164" s="31">
        <v>16</v>
      </c>
      <c r="C164" s="31" t="s">
        <v>546</v>
      </c>
      <c r="D164" s="31" t="s">
        <v>471</v>
      </c>
      <c r="E164" s="31" t="s">
        <v>477</v>
      </c>
      <c r="F164" s="31" t="s">
        <v>543</v>
      </c>
      <c r="G164" s="31"/>
      <c r="H164" s="31" t="s">
        <v>544</v>
      </c>
      <c r="I164" s="31"/>
      <c r="J164" s="43" t="s">
        <v>556</v>
      </c>
    </row>
    <row r="165" spans="1:10" ht="15">
      <c r="A165" s="30">
        <v>161</v>
      </c>
      <c r="B165" s="31">
        <v>17</v>
      </c>
      <c r="C165" s="31" t="s">
        <v>547</v>
      </c>
      <c r="D165" s="31" t="s">
        <v>479</v>
      </c>
      <c r="E165" s="31" t="s">
        <v>472</v>
      </c>
      <c r="F165" s="31" t="s">
        <v>539</v>
      </c>
      <c r="G165" s="31"/>
      <c r="H165" s="31" t="s">
        <v>540</v>
      </c>
      <c r="I165" s="31"/>
      <c r="J165" s="43" t="s">
        <v>556</v>
      </c>
    </row>
    <row r="166" spans="1:10" ht="15">
      <c r="A166" s="30">
        <v>162</v>
      </c>
      <c r="B166" s="31">
        <v>17</v>
      </c>
      <c r="C166" s="31" t="s">
        <v>547</v>
      </c>
      <c r="D166" s="31" t="s">
        <v>479</v>
      </c>
      <c r="E166" s="31" t="s">
        <v>475</v>
      </c>
      <c r="F166" s="31" t="s">
        <v>539</v>
      </c>
      <c r="G166" s="31"/>
      <c r="H166" s="31" t="s">
        <v>540</v>
      </c>
      <c r="I166" s="31"/>
      <c r="J166" s="43" t="s">
        <v>556</v>
      </c>
    </row>
    <row r="167" spans="1:10" ht="15">
      <c r="A167" s="30">
        <v>163</v>
      </c>
      <c r="B167" s="31">
        <v>17</v>
      </c>
      <c r="C167" s="31" t="s">
        <v>547</v>
      </c>
      <c r="D167" s="31" t="s">
        <v>479</v>
      </c>
      <c r="E167" s="31" t="s">
        <v>477</v>
      </c>
      <c r="F167" s="31" t="s">
        <v>539</v>
      </c>
      <c r="G167" s="31"/>
      <c r="H167" s="31" t="s">
        <v>540</v>
      </c>
      <c r="I167" s="31"/>
      <c r="J167" s="43" t="s">
        <v>556</v>
      </c>
    </row>
    <row r="168" spans="1:10" ht="15">
      <c r="A168" s="30">
        <v>164</v>
      </c>
      <c r="B168" s="31">
        <v>17</v>
      </c>
      <c r="C168" s="31" t="s">
        <v>547</v>
      </c>
      <c r="D168" s="31" t="s">
        <v>490</v>
      </c>
      <c r="E168" s="31" t="s">
        <v>491</v>
      </c>
      <c r="F168" s="31" t="s">
        <v>543</v>
      </c>
      <c r="G168" s="31"/>
      <c r="H168" s="31" t="s">
        <v>544</v>
      </c>
      <c r="I168" s="31"/>
      <c r="J168" s="43" t="s">
        <v>556</v>
      </c>
    </row>
    <row r="169" spans="1:10" ht="15">
      <c r="A169" s="30">
        <v>165</v>
      </c>
      <c r="B169" s="31">
        <v>18</v>
      </c>
      <c r="C169" s="31" t="s">
        <v>548</v>
      </c>
      <c r="D169" s="31" t="s">
        <v>479</v>
      </c>
      <c r="E169" s="31" t="s">
        <v>472</v>
      </c>
      <c r="F169" s="31" t="s">
        <v>543</v>
      </c>
      <c r="G169" s="31"/>
      <c r="H169" s="31" t="s">
        <v>544</v>
      </c>
      <c r="I169" s="31"/>
      <c r="J169" s="43" t="s">
        <v>556</v>
      </c>
    </row>
    <row r="170" spans="1:10" ht="15">
      <c r="A170" s="30">
        <v>166</v>
      </c>
      <c r="B170" s="31">
        <v>18</v>
      </c>
      <c r="C170" s="31" t="s">
        <v>548</v>
      </c>
      <c r="D170" s="31" t="s">
        <v>479</v>
      </c>
      <c r="E170" s="31" t="s">
        <v>475</v>
      </c>
      <c r="F170" s="31" t="s">
        <v>543</v>
      </c>
      <c r="G170" s="31"/>
      <c r="H170" s="31" t="s">
        <v>544</v>
      </c>
      <c r="I170" s="31"/>
      <c r="J170" s="43" t="s">
        <v>556</v>
      </c>
    </row>
    <row r="171" spans="1:10" ht="15">
      <c r="A171" s="30">
        <v>167</v>
      </c>
      <c r="B171" s="31">
        <v>18</v>
      </c>
      <c r="C171" s="31" t="s">
        <v>548</v>
      </c>
      <c r="D171" s="31" t="s">
        <v>479</v>
      </c>
      <c r="E171" s="31" t="s">
        <v>477</v>
      </c>
      <c r="F171" s="31" t="s">
        <v>543</v>
      </c>
      <c r="G171" s="31"/>
      <c r="H171" s="31" t="s">
        <v>544</v>
      </c>
      <c r="I171" s="31"/>
      <c r="J171" s="43" t="s">
        <v>556</v>
      </c>
    </row>
    <row r="172" spans="1:10" ht="15">
      <c r="A172" s="30">
        <v>168</v>
      </c>
      <c r="B172" s="31">
        <v>18</v>
      </c>
      <c r="C172" s="31" t="s">
        <v>548</v>
      </c>
      <c r="D172" s="31" t="s">
        <v>490</v>
      </c>
      <c r="E172" s="31" t="s">
        <v>491</v>
      </c>
      <c r="F172" s="31" t="s">
        <v>539</v>
      </c>
      <c r="G172" s="31"/>
      <c r="H172" s="31" t="s">
        <v>540</v>
      </c>
      <c r="I172" s="31"/>
      <c r="J172" s="43" t="s">
        <v>556</v>
      </c>
    </row>
    <row r="173" spans="1:10" ht="15">
      <c r="A173" s="30">
        <v>169</v>
      </c>
      <c r="B173" s="31">
        <v>19</v>
      </c>
      <c r="C173" s="31" t="s">
        <v>549</v>
      </c>
      <c r="D173" s="31" t="s">
        <v>486</v>
      </c>
      <c r="E173" s="31" t="s">
        <v>472</v>
      </c>
      <c r="F173" s="31" t="s">
        <v>550</v>
      </c>
      <c r="G173" s="31"/>
      <c r="H173" s="31" t="s">
        <v>551</v>
      </c>
      <c r="I173" s="31"/>
      <c r="J173" s="43" t="s">
        <v>556</v>
      </c>
    </row>
    <row r="174" spans="1:10" ht="15">
      <c r="A174" s="30">
        <v>170</v>
      </c>
      <c r="B174" s="31">
        <v>19</v>
      </c>
      <c r="C174" s="31" t="s">
        <v>549</v>
      </c>
      <c r="D174" s="31" t="s">
        <v>486</v>
      </c>
      <c r="E174" s="31" t="s">
        <v>475</v>
      </c>
      <c r="F174" s="31" t="s">
        <v>550</v>
      </c>
      <c r="G174" s="31"/>
      <c r="H174" s="31" t="s">
        <v>551</v>
      </c>
      <c r="I174" s="31"/>
      <c r="J174" s="43" t="s">
        <v>556</v>
      </c>
    </row>
    <row r="175" spans="1:10" ht="15">
      <c r="A175" s="30">
        <v>171</v>
      </c>
      <c r="B175" s="31">
        <v>19</v>
      </c>
      <c r="C175" s="31" t="s">
        <v>549</v>
      </c>
      <c r="D175" s="31" t="s">
        <v>486</v>
      </c>
      <c r="E175" s="31" t="s">
        <v>477</v>
      </c>
      <c r="F175" s="31" t="s">
        <v>550</v>
      </c>
      <c r="G175" s="31"/>
      <c r="H175" s="31" t="s">
        <v>551</v>
      </c>
      <c r="I175" s="31"/>
      <c r="J175" s="43" t="s">
        <v>556</v>
      </c>
    </row>
    <row r="176" spans="1:10" ht="15">
      <c r="A176" s="30">
        <v>172</v>
      </c>
      <c r="B176" s="31">
        <v>20</v>
      </c>
      <c r="C176" s="31" t="s">
        <v>552</v>
      </c>
      <c r="D176" s="31" t="s">
        <v>483</v>
      </c>
      <c r="E176" s="31" t="s">
        <v>472</v>
      </c>
      <c r="F176" s="31" t="s">
        <v>550</v>
      </c>
      <c r="G176" s="31"/>
      <c r="H176" s="31" t="s">
        <v>551</v>
      </c>
      <c r="I176" s="31"/>
      <c r="J176" s="43" t="s">
        <v>556</v>
      </c>
    </row>
    <row r="177" spans="1:10" ht="15">
      <c r="A177" s="30">
        <v>173</v>
      </c>
      <c r="B177" s="31">
        <v>20</v>
      </c>
      <c r="C177" s="31" t="s">
        <v>552</v>
      </c>
      <c r="D177" s="31" t="s">
        <v>483</v>
      </c>
      <c r="E177" s="31" t="s">
        <v>477</v>
      </c>
      <c r="F177" s="31" t="s">
        <v>550</v>
      </c>
      <c r="G177" s="31"/>
      <c r="H177" s="31" t="s">
        <v>551</v>
      </c>
      <c r="I177" s="31"/>
      <c r="J177" s="43" t="s">
        <v>556</v>
      </c>
    </row>
    <row r="178" spans="1:10" ht="15">
      <c r="A178" s="30">
        <v>175</v>
      </c>
      <c r="B178" s="31">
        <v>20</v>
      </c>
      <c r="C178" s="31" t="s">
        <v>553</v>
      </c>
      <c r="D178" s="31" t="s">
        <v>471</v>
      </c>
      <c r="E178" s="31" t="s">
        <v>472</v>
      </c>
      <c r="F178" s="31" t="s">
        <v>550</v>
      </c>
      <c r="G178" s="31"/>
      <c r="H178" s="31" t="s">
        <v>551</v>
      </c>
      <c r="I178" s="31"/>
      <c r="J178" s="43" t="s">
        <v>556</v>
      </c>
    </row>
    <row r="179" spans="1:10" ht="15">
      <c r="A179" s="30">
        <v>176</v>
      </c>
      <c r="B179" s="31">
        <v>20</v>
      </c>
      <c r="C179" s="31" t="s">
        <v>553</v>
      </c>
      <c r="D179" s="31" t="s">
        <v>471</v>
      </c>
      <c r="E179" s="31" t="s">
        <v>475</v>
      </c>
      <c r="F179" s="31" t="s">
        <v>550</v>
      </c>
      <c r="G179" s="31"/>
      <c r="H179" s="31" t="s">
        <v>551</v>
      </c>
      <c r="I179" s="31"/>
      <c r="J179" s="43" t="s">
        <v>556</v>
      </c>
    </row>
    <row r="180" spans="1:10" ht="15">
      <c r="A180" s="30">
        <v>177</v>
      </c>
      <c r="B180" s="31">
        <v>20</v>
      </c>
      <c r="C180" s="31" t="s">
        <v>553</v>
      </c>
      <c r="D180" s="31" t="s">
        <v>471</v>
      </c>
      <c r="E180" s="31" t="s">
        <v>477</v>
      </c>
      <c r="F180" s="31" t="s">
        <v>550</v>
      </c>
      <c r="G180" s="31"/>
      <c r="H180" s="31" t="s">
        <v>551</v>
      </c>
      <c r="I180" s="31"/>
      <c r="J180" s="43" t="s">
        <v>556</v>
      </c>
    </row>
    <row r="181" spans="1:10" ht="15">
      <c r="A181" s="30">
        <v>178</v>
      </c>
      <c r="B181" s="31">
        <v>21</v>
      </c>
      <c r="C181" s="31" t="s">
        <v>554</v>
      </c>
      <c r="D181" s="31" t="s">
        <v>479</v>
      </c>
      <c r="E181" s="31" t="s">
        <v>472</v>
      </c>
      <c r="F181" s="31" t="s">
        <v>550</v>
      </c>
      <c r="G181" s="31"/>
      <c r="H181" s="31" t="s">
        <v>551</v>
      </c>
      <c r="I181" s="31"/>
      <c r="J181" s="43" t="s">
        <v>556</v>
      </c>
    </row>
    <row r="182" spans="1:10" ht="15">
      <c r="A182" s="30">
        <v>179</v>
      </c>
      <c r="B182" s="31">
        <v>21</v>
      </c>
      <c r="C182" s="31" t="s">
        <v>554</v>
      </c>
      <c r="D182" s="31" t="s">
        <v>479</v>
      </c>
      <c r="E182" s="31" t="s">
        <v>475</v>
      </c>
      <c r="F182" s="31" t="s">
        <v>550</v>
      </c>
      <c r="G182" s="31"/>
      <c r="H182" s="31" t="s">
        <v>551</v>
      </c>
      <c r="I182" s="31"/>
      <c r="J182" s="43" t="s">
        <v>556</v>
      </c>
    </row>
    <row r="183" spans="1:10" ht="15">
      <c r="A183" s="30">
        <v>180</v>
      </c>
      <c r="B183" s="31">
        <v>21</v>
      </c>
      <c r="C183" s="31" t="s">
        <v>554</v>
      </c>
      <c r="D183" s="31" t="s">
        <v>479</v>
      </c>
      <c r="E183" s="31" t="s">
        <v>477</v>
      </c>
      <c r="F183" s="31" t="s">
        <v>550</v>
      </c>
      <c r="G183" s="31"/>
      <c r="H183" s="31" t="s">
        <v>551</v>
      </c>
      <c r="I183" s="31"/>
      <c r="J183" s="43" t="s">
        <v>556</v>
      </c>
    </row>
    <row r="184" spans="1:10" ht="15">
      <c r="A184" s="34">
        <v>181</v>
      </c>
      <c r="B184" s="35">
        <v>22</v>
      </c>
      <c r="C184" s="35" t="s">
        <v>555</v>
      </c>
      <c r="D184" s="35" t="s">
        <v>490</v>
      </c>
      <c r="E184" s="35" t="s">
        <v>491</v>
      </c>
      <c r="F184" s="35" t="s">
        <v>550</v>
      </c>
      <c r="G184" s="35"/>
      <c r="H184" s="35" t="s">
        <v>551</v>
      </c>
      <c r="I184" s="35"/>
      <c r="J184" s="44" t="s">
        <v>556</v>
      </c>
    </row>
  </sheetData>
  <mergeCells count="1">
    <mergeCell ref="A1:J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2324A"/>
  </sheetPr>
  <dimension ref="A1:K118"/>
  <sheetViews>
    <sheetView showGridLines="0" workbookViewId="0">
      <pane ySplit="5" topLeftCell="A6" activePane="bottomLeft" state="frozen"/>
      <selection pane="bottomLeft" activeCell="H23" sqref="H23"/>
    </sheetView>
  </sheetViews>
  <sheetFormatPr defaultRowHeight="14.25"/>
  <cols>
    <col min="1" max="1" width="16" customWidth="1"/>
    <col min="2" max="2" width="18" customWidth="1"/>
    <col min="3" max="6" width="13" customWidth="1"/>
    <col min="7" max="8" width="15" customWidth="1"/>
    <col min="9" max="9" width="19" customWidth="1"/>
    <col min="10" max="10" width="12" customWidth="1"/>
    <col min="11" max="11" width="2" customWidth="1"/>
  </cols>
  <sheetData>
    <row r="1" spans="1:11" ht="33.950000000000003" customHeight="1">
      <c r="A1" s="74" t="s">
        <v>557</v>
      </c>
      <c r="B1" s="74"/>
      <c r="C1" s="74"/>
      <c r="D1" s="74"/>
      <c r="E1" s="74"/>
      <c r="F1" s="74"/>
      <c r="G1" s="74"/>
      <c r="H1" s="51"/>
      <c r="I1" s="51"/>
      <c r="J1" s="51"/>
      <c r="K1" s="51"/>
    </row>
    <row r="2" spans="1:1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ht="33.950000000000003" customHeight="1">
      <c r="A3" s="75" t="s">
        <v>558</v>
      </c>
      <c r="B3" s="75"/>
      <c r="C3" s="75"/>
      <c r="D3" s="75"/>
      <c r="E3" s="75"/>
      <c r="F3" s="75"/>
      <c r="G3" s="75"/>
      <c r="H3" s="51"/>
      <c r="I3" s="51"/>
      <c r="J3" s="51"/>
      <c r="K3" s="51"/>
    </row>
    <row r="4" spans="1:1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</row>
    <row r="5" spans="1:11">
      <c r="A5" s="52" t="s">
        <v>458</v>
      </c>
      <c r="B5" s="52" t="s">
        <v>459</v>
      </c>
      <c r="C5" s="52" t="s">
        <v>559</v>
      </c>
      <c r="D5" s="52" t="s">
        <v>560</v>
      </c>
      <c r="E5" s="52" t="s">
        <v>561</v>
      </c>
      <c r="F5" s="52" t="s">
        <v>562</v>
      </c>
      <c r="G5" s="52" t="s">
        <v>563</v>
      </c>
      <c r="H5" s="51"/>
      <c r="I5" s="51"/>
      <c r="J5" s="51"/>
      <c r="K5" s="51"/>
    </row>
    <row r="6" spans="1:11">
      <c r="A6" s="53" t="s">
        <v>486</v>
      </c>
      <c r="B6" s="53" t="s">
        <v>472</v>
      </c>
      <c r="C6" s="53" t="str">
        <f>IFERROR(INDEX($D$23:$D$26,MATCH(1,$J$23:$J$26,0)),"")</f>
        <v>A1</v>
      </c>
      <c r="D6" s="53" t="str">
        <f>IFERROR(INDEX($D$23:$D$26,MATCH(2,$J$23:$J$26,0)),"")</f>
        <v>A4</v>
      </c>
      <c r="E6" s="53" t="str">
        <f>IFERROR(INDEX($D$27:$D$30,MATCH(1,$J$27:$J$30,0)),"")</f>
        <v>B4</v>
      </c>
      <c r="F6" s="53" t="str">
        <f>IFERROR(INDEX($D$27:$D$30,MATCH(2,$J$27:$J$30,0)),"")</f>
        <v>B3</v>
      </c>
      <c r="G6" s="53" t="str">
        <f t="shared" ref="G6:G17" si="0">IF(COUNTIFS($A$23:$A$118,$A6,$B$23:$B$118,$B6,$H$23:$H$118,"TIE - REVIEW")&gt;0,"TIE - REVIEW","OK")</f>
        <v>OK</v>
      </c>
      <c r="H6" s="51"/>
      <c r="I6" s="51"/>
      <c r="J6" s="51"/>
      <c r="K6" s="51"/>
    </row>
    <row r="7" spans="1:11">
      <c r="A7" s="53" t="s">
        <v>486</v>
      </c>
      <c r="B7" s="53" t="s">
        <v>475</v>
      </c>
      <c r="C7" s="53" t="str">
        <f>IFERROR(INDEX($D$31:$D$34,MATCH(1,$J$31:$J$34,0)),"")</f>
        <v>A4</v>
      </c>
      <c r="D7" s="53" t="str">
        <f>IFERROR(INDEX($D$31:$D$34,MATCH(2,$J$31:$J$34,0)),"")</f>
        <v>A3</v>
      </c>
      <c r="E7" s="53" t="str">
        <f>IFERROR(INDEX($D$35:$D$38,MATCH(1,$J$35:$J$38,0)),"")</f>
        <v>B4</v>
      </c>
      <c r="F7" s="53" t="str">
        <f>IFERROR(INDEX($D$35:$D$38,MATCH(2,$J$35:$J$38,0)),"")</f>
        <v>B3</v>
      </c>
      <c r="G7" s="53" t="str">
        <f t="shared" si="0"/>
        <v>OK</v>
      </c>
      <c r="H7" s="51"/>
      <c r="I7" s="51"/>
      <c r="J7" s="51"/>
      <c r="K7" s="51"/>
    </row>
    <row r="8" spans="1:11">
      <c r="A8" s="53" t="s">
        <v>486</v>
      </c>
      <c r="B8" s="53" t="s">
        <v>477</v>
      </c>
      <c r="C8" s="53" t="str">
        <f>IFERROR(INDEX($D$39:$D$42,MATCH(1,$J$39:$J$42,0)),"")</f>
        <v>A4</v>
      </c>
      <c r="D8" s="53" t="str">
        <f>IFERROR(INDEX($D$39:$D$42,MATCH(2,$J$39:$J$42,0)),"")</f>
        <v>A3</v>
      </c>
      <c r="E8" s="53" t="str">
        <f>IFERROR(INDEX($D$43:$D$46,MATCH(1,$J$43:$J$46,0)),"")</f>
        <v>B4</v>
      </c>
      <c r="F8" s="53" t="str">
        <f>IFERROR(INDEX($D$43:$D$46,MATCH(2,$J$43:$J$46,0)),"")</f>
        <v>B3</v>
      </c>
      <c r="G8" s="53" t="str">
        <f t="shared" si="0"/>
        <v>OK</v>
      </c>
      <c r="H8" s="51"/>
      <c r="I8" s="51"/>
      <c r="J8" s="51"/>
      <c r="K8" s="51"/>
    </row>
    <row r="9" spans="1:11">
      <c r="A9" s="53" t="s">
        <v>483</v>
      </c>
      <c r="B9" s="53" t="s">
        <v>472</v>
      </c>
      <c r="C9" s="53" t="str">
        <f>IFERROR(INDEX($D$47:$D$50,MATCH(1,$J$47:$J$50,0)),"")</f>
        <v>A4</v>
      </c>
      <c r="D9" s="53" t="str">
        <f>IFERROR(INDEX($D$47:$D$50,MATCH(2,$J$47:$J$50,0)),"")</f>
        <v>A3</v>
      </c>
      <c r="E9" s="53" t="str">
        <f>IFERROR(INDEX($D$51:$D$54,MATCH(1,$J$51:$J$54,0)),"")</f>
        <v>B4</v>
      </c>
      <c r="F9" s="53" t="str">
        <f>IFERROR(INDEX($D$51:$D$54,MATCH(2,$J$51:$J$54,0)),"")</f>
        <v>B3</v>
      </c>
      <c r="G9" s="53" t="str">
        <f t="shared" si="0"/>
        <v>OK</v>
      </c>
      <c r="H9" s="51"/>
      <c r="I9" s="51"/>
      <c r="J9" s="51"/>
      <c r="K9" s="51"/>
    </row>
    <row r="10" spans="1:11">
      <c r="A10" s="53" t="s">
        <v>483</v>
      </c>
      <c r="B10" s="53" t="s">
        <v>477</v>
      </c>
      <c r="C10" s="53" t="str">
        <f>IFERROR(INDEX($D$55:$D$58,MATCH(1,$J$55:$J$58,0)),"")</f>
        <v>A4</v>
      </c>
      <c r="D10" s="53" t="str">
        <f>IFERROR(INDEX($D$55:$D$58,MATCH(2,$J$55:$J$58,0)),"")</f>
        <v>A3</v>
      </c>
      <c r="E10" s="53" t="str">
        <f>IFERROR(INDEX($D$59:$D$62,MATCH(1,$J$59:$J$62,0)),"")</f>
        <v>B4</v>
      </c>
      <c r="F10" s="53" t="str">
        <f>IFERROR(INDEX($D$59:$D$62,MATCH(2,$J$59:$J$62,0)),"")</f>
        <v>B3</v>
      </c>
      <c r="G10" s="53" t="str">
        <f t="shared" si="0"/>
        <v>OK</v>
      </c>
      <c r="H10" s="51"/>
      <c r="I10" s="51"/>
      <c r="J10" s="51"/>
      <c r="K10" s="51"/>
    </row>
    <row r="11" spans="1:11">
      <c r="A11" s="53" t="s">
        <v>471</v>
      </c>
      <c r="B11" s="53" t="s">
        <v>472</v>
      </c>
      <c r="C11" s="53" t="str">
        <f>IFERROR(INDEX($D$63:$D$66,MATCH(1,$J$63:$J$66,0)),"")</f>
        <v>A4</v>
      </c>
      <c r="D11" s="53" t="str">
        <f>IFERROR(INDEX($D$63:$D$66,MATCH(2,$J$63:$J$66,0)),"")</f>
        <v>A3</v>
      </c>
      <c r="E11" s="53" t="str">
        <f>IFERROR(INDEX($D$67:$D$70,MATCH(1,$J$67:$J$70,0)),"")</f>
        <v>B4</v>
      </c>
      <c r="F11" s="53" t="str">
        <f>IFERROR(INDEX($D$67:$D$70,MATCH(2,$J$67:$J$70,0)),"")</f>
        <v>B3</v>
      </c>
      <c r="G11" s="53" t="str">
        <f t="shared" si="0"/>
        <v>OK</v>
      </c>
      <c r="H11" s="51"/>
      <c r="I11" s="51"/>
      <c r="J11" s="51"/>
      <c r="K11" s="51"/>
    </row>
    <row r="12" spans="1:11">
      <c r="A12" s="53" t="s">
        <v>471</v>
      </c>
      <c r="B12" s="53" t="s">
        <v>475</v>
      </c>
      <c r="C12" s="53" t="str">
        <f>IFERROR(INDEX($D$71:$D$74,MATCH(1,$J$71:$J$74,0)),"")</f>
        <v>A4</v>
      </c>
      <c r="D12" s="53" t="str">
        <f>IFERROR(INDEX($D$71:$D$74,MATCH(2,$J$71:$J$74,0)),"")</f>
        <v>A3</v>
      </c>
      <c r="E12" s="53" t="str">
        <f>IFERROR(INDEX($D$75:$D$78,MATCH(1,$J$75:$J$78,0)),"")</f>
        <v>B4</v>
      </c>
      <c r="F12" s="53" t="str">
        <f>IFERROR(INDEX($D$75:$D$78,MATCH(2,$J$75:$J$78,0)),"")</f>
        <v>B3</v>
      </c>
      <c r="G12" s="53" t="str">
        <f t="shared" si="0"/>
        <v>OK</v>
      </c>
      <c r="H12" s="51"/>
      <c r="I12" s="51"/>
      <c r="J12" s="51"/>
      <c r="K12" s="51"/>
    </row>
    <row r="13" spans="1:11">
      <c r="A13" s="53" t="s">
        <v>471</v>
      </c>
      <c r="B13" s="53" t="s">
        <v>477</v>
      </c>
      <c r="C13" s="53" t="str">
        <f>IFERROR(INDEX($D$79:$D$82,MATCH(1,$J$79:$J$82,0)),"")</f>
        <v>A4</v>
      </c>
      <c r="D13" s="53" t="str">
        <f>IFERROR(INDEX($D$79:$D$82,MATCH(2,$J$79:$J$82,0)),"")</f>
        <v>A3</v>
      </c>
      <c r="E13" s="53" t="str">
        <f>IFERROR(INDEX($D$83:$D$86,MATCH(1,$J$83:$J$86,0)),"")</f>
        <v>B4</v>
      </c>
      <c r="F13" s="53" t="str">
        <f>IFERROR(INDEX($D$83:$D$86,MATCH(2,$J$83:$J$86,0)),"")</f>
        <v>B3</v>
      </c>
      <c r="G13" s="53" t="str">
        <f t="shared" si="0"/>
        <v>OK</v>
      </c>
      <c r="H13" s="51"/>
      <c r="I13" s="51"/>
      <c r="J13" s="51"/>
      <c r="K13" s="51"/>
    </row>
    <row r="14" spans="1:11">
      <c r="A14" s="53" t="s">
        <v>479</v>
      </c>
      <c r="B14" s="53" t="s">
        <v>472</v>
      </c>
      <c r="C14" s="53" t="str">
        <f>IFERROR(INDEX($D$87:$D$90,MATCH(1,$J$87:$J$90,0)),"")</f>
        <v>A4</v>
      </c>
      <c r="D14" s="53" t="str">
        <f>IFERROR(INDEX($D$87:$D$90,MATCH(2,$J$87:$J$90,0)),"")</f>
        <v>A3</v>
      </c>
      <c r="E14" s="53" t="str">
        <f>IFERROR(INDEX($D$91:$D$94,MATCH(1,$J$91:$J$94,0)),"")</f>
        <v>B4</v>
      </c>
      <c r="F14" s="53" t="str">
        <f>IFERROR(INDEX($D$91:$D$94,MATCH(2,$J$91:$J$94,0)),"")</f>
        <v>B3</v>
      </c>
      <c r="G14" s="53" t="str">
        <f t="shared" si="0"/>
        <v>OK</v>
      </c>
      <c r="H14" s="51"/>
      <c r="I14" s="51"/>
      <c r="J14" s="51"/>
      <c r="K14" s="51"/>
    </row>
    <row r="15" spans="1:11">
      <c r="A15" s="53" t="s">
        <v>479</v>
      </c>
      <c r="B15" s="53" t="s">
        <v>475</v>
      </c>
      <c r="C15" s="53" t="str">
        <f>IFERROR(INDEX($D$95:$D$98,MATCH(1,$J$95:$J$98,0)),"")</f>
        <v>A4</v>
      </c>
      <c r="D15" s="53" t="str">
        <f>IFERROR(INDEX($D$95:$D$98,MATCH(2,$J$95:$J$98,0)),"")</f>
        <v>A3</v>
      </c>
      <c r="E15" s="53" t="str">
        <f>IFERROR(INDEX($D$99:$D$102,MATCH(1,$J$99:$J$102,0)),"")</f>
        <v>B4</v>
      </c>
      <c r="F15" s="53" t="str">
        <f>IFERROR(INDEX($D$99:$D$102,MATCH(2,$J$99:$J$102,0)),"")</f>
        <v>B3</v>
      </c>
      <c r="G15" s="53" t="str">
        <f t="shared" si="0"/>
        <v>OK</v>
      </c>
      <c r="H15" s="51"/>
      <c r="I15" s="51"/>
      <c r="J15" s="51"/>
      <c r="K15" s="51"/>
    </row>
    <row r="16" spans="1:11">
      <c r="A16" s="53" t="s">
        <v>479</v>
      </c>
      <c r="B16" s="53" t="s">
        <v>477</v>
      </c>
      <c r="C16" s="53" t="str">
        <f>IFERROR(INDEX($D$103:$D$106,MATCH(1,$J$103:$J$106,0)),"")</f>
        <v>A4</v>
      </c>
      <c r="D16" s="53" t="str">
        <f>IFERROR(INDEX($D$103:$D$106,MATCH(2,$J$103:$J$106,0)),"")</f>
        <v>A3</v>
      </c>
      <c r="E16" s="53" t="str">
        <f>IFERROR(INDEX($D$107:$D$110,MATCH(1,$J$107:$J$110,0)),"")</f>
        <v>B4</v>
      </c>
      <c r="F16" s="53" t="str">
        <f>IFERROR(INDEX($D$107:$D$110,MATCH(2,$J$107:$J$110,0)),"")</f>
        <v>B3</v>
      </c>
      <c r="G16" s="53" t="str">
        <f t="shared" si="0"/>
        <v>OK</v>
      </c>
      <c r="H16" s="51"/>
      <c r="I16" s="51"/>
      <c r="J16" s="51"/>
      <c r="K16" s="51"/>
    </row>
    <row r="17" spans="1:11">
      <c r="A17" s="53" t="s">
        <v>490</v>
      </c>
      <c r="B17" s="53" t="s">
        <v>491</v>
      </c>
      <c r="C17" s="53" t="str">
        <f>IFERROR(INDEX($D$111:$D$114,MATCH(1,$J$111:$J$114,0)),"")</f>
        <v>A4</v>
      </c>
      <c r="D17" s="53" t="str">
        <f>IFERROR(INDEX($D$111:$D$114,MATCH(2,$J$111:$J$114,0)),"")</f>
        <v>A3</v>
      </c>
      <c r="E17" s="53" t="str">
        <f>IFERROR(INDEX($D$115:$D$118,MATCH(1,$J$115:$J$118,0)),"")</f>
        <v>B4</v>
      </c>
      <c r="F17" s="53" t="str">
        <f>IFERROR(INDEX($D$115:$D$118,MATCH(2,$J$115:$J$118,0)),"")</f>
        <v>B3</v>
      </c>
      <c r="G17" s="53" t="str">
        <f t="shared" si="0"/>
        <v>OK</v>
      </c>
      <c r="H17" s="51"/>
      <c r="I17" s="51"/>
      <c r="J17" s="51"/>
      <c r="K17" s="51"/>
    </row>
    <row r="18" spans="1:11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</row>
    <row r="19" spans="1:1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spans="1:11">
      <c r="A20" s="76" t="s">
        <v>564</v>
      </c>
      <c r="B20" s="76"/>
      <c r="C20" s="76"/>
      <c r="D20" s="76"/>
      <c r="E20" s="76"/>
      <c r="F20" s="76"/>
      <c r="G20" s="76"/>
      <c r="H20" s="76"/>
      <c r="I20" s="76"/>
      <c r="J20" s="76"/>
      <c r="K20" s="51"/>
    </row>
    <row r="21" spans="1:1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</row>
    <row r="22" spans="1:11">
      <c r="A22" s="54" t="s">
        <v>458</v>
      </c>
      <c r="B22" s="54" t="s">
        <v>459</v>
      </c>
      <c r="C22" s="54" t="s">
        <v>518</v>
      </c>
      <c r="D22" s="54" t="s">
        <v>32</v>
      </c>
      <c r="E22" s="54" t="s">
        <v>33</v>
      </c>
      <c r="F22" s="54" t="s">
        <v>565</v>
      </c>
      <c r="G22" s="54" t="s">
        <v>566</v>
      </c>
      <c r="H22" s="54" t="s">
        <v>567</v>
      </c>
      <c r="I22" s="54" t="s">
        <v>568</v>
      </c>
      <c r="J22" s="54" t="s">
        <v>569</v>
      </c>
      <c r="K22" s="51"/>
    </row>
    <row r="23" spans="1:11">
      <c r="A23" s="53" t="s">
        <v>486</v>
      </c>
      <c r="B23" s="53" t="s">
        <v>472</v>
      </c>
      <c r="C23" s="53" t="s">
        <v>522</v>
      </c>
      <c r="D23" s="53" t="s">
        <v>42</v>
      </c>
      <c r="E23" s="55">
        <f>COUNTIFS('Match Results'!$C$6:$C$149,$A23,'Match Results'!$D$6:$D$149,$B23,'Match Results'!$E$6:$E$149,"League",'Match Results'!$I$6:$I$149,$D23,'Match Results'!$J$6:$J$149,"VALID")</f>
        <v>3</v>
      </c>
      <c r="F23" s="55">
        <f t="shared" ref="F23:F54" si="1">E23*10</f>
        <v>30</v>
      </c>
      <c r="G23" s="55">
        <f t="shared" ref="G23:G54" si="2">1+COUNTIFS($A$23:$A$118,$A23,$B$23:$B$118,$B23,$C$23:$C$118,$C23,$F$23:$F$118,"&gt;"&amp;$F23)+COUNTIFS($A$23:$A$118,$A23,$B$23:$B$118,$B23,$C$23:$C$118,$C23,$F$23:$F$118,$F23,$D$23:$D$118,"&lt;"&amp;$D23)</f>
        <v>1</v>
      </c>
      <c r="H23" s="55" t="str">
        <f t="shared" ref="H23:H54" si="3">IF(COUNTIFS($A$23:$A$118,$A23,$B$23:$B$118,$B23,$C$23:$C$118,$C23,$F$23:$F$118,$F23)&gt;1,"TIE - REVIEW","")</f>
        <v/>
      </c>
      <c r="I23" s="56"/>
      <c r="J23" s="55">
        <f t="shared" ref="J23:J54" si="4">IF(I23="",G23,I23)</f>
        <v>1</v>
      </c>
      <c r="K23" s="51" t="str">
        <f t="shared" ref="K23:K54" si="5">$A23&amp;"|"&amp;$B23&amp;"|"&amp;$C23&amp;"|"&amp;$J23</f>
        <v>Carrom|Boys Doubles|A|1</v>
      </c>
    </row>
    <row r="24" spans="1:11">
      <c r="A24" s="53" t="s">
        <v>486</v>
      </c>
      <c r="B24" s="53" t="s">
        <v>472</v>
      </c>
      <c r="C24" s="53" t="s">
        <v>522</v>
      </c>
      <c r="D24" s="53" t="s">
        <v>43</v>
      </c>
      <c r="E24" s="55">
        <f>COUNTIFS('Match Results'!$C$6:$C$149,$A24,'Match Results'!$D$6:$D$149,$B24,'Match Results'!$E$6:$E$149,"League",'Match Results'!$I$6:$I$149,$D24,'Match Results'!$J$6:$J$149,"VALID")</f>
        <v>0</v>
      </c>
      <c r="F24" s="55">
        <f t="shared" si="1"/>
        <v>0</v>
      </c>
      <c r="G24" s="55">
        <f t="shared" si="2"/>
        <v>4</v>
      </c>
      <c r="H24" s="55" t="str">
        <f t="shared" si="3"/>
        <v/>
      </c>
      <c r="I24" s="56"/>
      <c r="J24" s="55">
        <f t="shared" si="4"/>
        <v>4</v>
      </c>
      <c r="K24" s="51" t="str">
        <f t="shared" si="5"/>
        <v>Carrom|Boys Doubles|A|4</v>
      </c>
    </row>
    <row r="25" spans="1:11">
      <c r="A25" s="53" t="s">
        <v>486</v>
      </c>
      <c r="B25" s="53" t="s">
        <v>472</v>
      </c>
      <c r="C25" s="53" t="s">
        <v>522</v>
      </c>
      <c r="D25" s="53" t="s">
        <v>44</v>
      </c>
      <c r="E25" s="55">
        <f>COUNTIFS('Match Results'!$C$6:$C$149,$A25,'Match Results'!$D$6:$D$149,$B25,'Match Results'!$E$6:$E$149,"League",'Match Results'!$I$6:$I$149,$D25,'Match Results'!$J$6:$J$149,"VALID")</f>
        <v>1</v>
      </c>
      <c r="F25" s="55">
        <f t="shared" si="1"/>
        <v>10</v>
      </c>
      <c r="G25" s="55">
        <f t="shared" si="2"/>
        <v>3</v>
      </c>
      <c r="H25" s="55" t="str">
        <f t="shared" si="3"/>
        <v/>
      </c>
      <c r="I25" s="56"/>
      <c r="J25" s="55">
        <f t="shared" si="4"/>
        <v>3</v>
      </c>
      <c r="K25" s="51" t="str">
        <f t="shared" si="5"/>
        <v>Carrom|Boys Doubles|A|3</v>
      </c>
    </row>
    <row r="26" spans="1:11">
      <c r="A26" s="53" t="s">
        <v>486</v>
      </c>
      <c r="B26" s="53" t="s">
        <v>472</v>
      </c>
      <c r="C26" s="53" t="s">
        <v>522</v>
      </c>
      <c r="D26" s="53" t="s">
        <v>45</v>
      </c>
      <c r="E26" s="55">
        <f>COUNTIFS('Match Results'!$C$6:$C$149,$A26,'Match Results'!$D$6:$D$149,$B26,'Match Results'!$E$6:$E$149,"League",'Match Results'!$I$6:$I$149,$D26,'Match Results'!$J$6:$J$149,"VALID")</f>
        <v>2</v>
      </c>
      <c r="F26" s="55">
        <f t="shared" si="1"/>
        <v>20</v>
      </c>
      <c r="G26" s="55">
        <f t="shared" si="2"/>
        <v>2</v>
      </c>
      <c r="H26" s="55" t="str">
        <f t="shared" si="3"/>
        <v/>
      </c>
      <c r="I26" s="56"/>
      <c r="J26" s="55">
        <f t="shared" si="4"/>
        <v>2</v>
      </c>
      <c r="K26" s="51" t="str">
        <f t="shared" si="5"/>
        <v>Carrom|Boys Doubles|A|2</v>
      </c>
    </row>
    <row r="27" spans="1:11">
      <c r="A27" s="53" t="s">
        <v>486</v>
      </c>
      <c r="B27" s="53" t="s">
        <v>472</v>
      </c>
      <c r="C27" s="53" t="s">
        <v>526</v>
      </c>
      <c r="D27" s="53" t="s">
        <v>46</v>
      </c>
      <c r="E27" s="55">
        <f>COUNTIFS('Match Results'!$C$6:$C$149,$A27,'Match Results'!$D$6:$D$149,$B27,'Match Results'!$E$6:$E$149,"League",'Match Results'!$I$6:$I$149,$D27,'Match Results'!$J$6:$J$149,"VALID")</f>
        <v>0</v>
      </c>
      <c r="F27" s="55">
        <f t="shared" si="1"/>
        <v>0</v>
      </c>
      <c r="G27" s="55">
        <f t="shared" si="2"/>
        <v>4</v>
      </c>
      <c r="H27" s="55" t="str">
        <f t="shared" si="3"/>
        <v/>
      </c>
      <c r="I27" s="56"/>
      <c r="J27" s="55">
        <f t="shared" si="4"/>
        <v>4</v>
      </c>
      <c r="K27" s="51" t="str">
        <f t="shared" si="5"/>
        <v>Carrom|Boys Doubles|B|4</v>
      </c>
    </row>
    <row r="28" spans="1:11">
      <c r="A28" s="53" t="s">
        <v>486</v>
      </c>
      <c r="B28" s="53" t="s">
        <v>472</v>
      </c>
      <c r="C28" s="53" t="s">
        <v>526</v>
      </c>
      <c r="D28" s="53" t="s">
        <v>47</v>
      </c>
      <c r="E28" s="55">
        <f>COUNTIFS('Match Results'!$C$6:$C$149,$A28,'Match Results'!$D$6:$D$149,$B28,'Match Results'!$E$6:$E$149,"League",'Match Results'!$I$6:$I$149,$D28,'Match Results'!$J$6:$J$149,"VALID")</f>
        <v>1</v>
      </c>
      <c r="F28" s="55">
        <f t="shared" si="1"/>
        <v>10</v>
      </c>
      <c r="G28" s="55">
        <f t="shared" si="2"/>
        <v>3</v>
      </c>
      <c r="H28" s="55" t="str">
        <f t="shared" si="3"/>
        <v/>
      </c>
      <c r="I28" s="56"/>
      <c r="J28" s="55">
        <f t="shared" si="4"/>
        <v>3</v>
      </c>
      <c r="K28" s="51" t="str">
        <f t="shared" si="5"/>
        <v>Carrom|Boys Doubles|B|3</v>
      </c>
    </row>
    <row r="29" spans="1:11">
      <c r="A29" s="53" t="s">
        <v>486</v>
      </c>
      <c r="B29" s="53" t="s">
        <v>472</v>
      </c>
      <c r="C29" s="53" t="s">
        <v>526</v>
      </c>
      <c r="D29" s="53" t="s">
        <v>48</v>
      </c>
      <c r="E29" s="55">
        <f>COUNTIFS('Match Results'!$C$6:$C$149,$A29,'Match Results'!$D$6:$D$149,$B29,'Match Results'!$E$6:$E$149,"League",'Match Results'!$I$6:$I$149,$D29,'Match Results'!$J$6:$J$149,"VALID")</f>
        <v>2</v>
      </c>
      <c r="F29" s="55">
        <f t="shared" si="1"/>
        <v>20</v>
      </c>
      <c r="G29" s="55">
        <f t="shared" si="2"/>
        <v>2</v>
      </c>
      <c r="H29" s="55" t="str">
        <f t="shared" si="3"/>
        <v/>
      </c>
      <c r="I29" s="56"/>
      <c r="J29" s="55">
        <f t="shared" si="4"/>
        <v>2</v>
      </c>
      <c r="K29" s="51" t="str">
        <f t="shared" si="5"/>
        <v>Carrom|Boys Doubles|B|2</v>
      </c>
    </row>
    <row r="30" spans="1:11">
      <c r="A30" s="53" t="s">
        <v>486</v>
      </c>
      <c r="B30" s="53" t="s">
        <v>472</v>
      </c>
      <c r="C30" s="53" t="s">
        <v>526</v>
      </c>
      <c r="D30" s="53" t="s">
        <v>49</v>
      </c>
      <c r="E30" s="55">
        <f>COUNTIFS('Match Results'!$C$6:$C$149,$A30,'Match Results'!$D$6:$D$149,$B30,'Match Results'!$E$6:$E$149,"League",'Match Results'!$I$6:$I$149,$D30,'Match Results'!$J$6:$J$149,"VALID")</f>
        <v>3</v>
      </c>
      <c r="F30" s="55">
        <f t="shared" si="1"/>
        <v>30</v>
      </c>
      <c r="G30" s="55">
        <f t="shared" si="2"/>
        <v>1</v>
      </c>
      <c r="H30" s="55" t="str">
        <f t="shared" si="3"/>
        <v/>
      </c>
      <c r="I30" s="56"/>
      <c r="J30" s="55">
        <f t="shared" si="4"/>
        <v>1</v>
      </c>
      <c r="K30" s="51" t="str">
        <f t="shared" si="5"/>
        <v>Carrom|Boys Doubles|B|1</v>
      </c>
    </row>
    <row r="31" spans="1:11">
      <c r="A31" s="53" t="s">
        <v>486</v>
      </c>
      <c r="B31" s="53" t="s">
        <v>475</v>
      </c>
      <c r="C31" s="53" t="s">
        <v>522</v>
      </c>
      <c r="D31" s="53" t="s">
        <v>42</v>
      </c>
      <c r="E31" s="55">
        <f>COUNTIFS('Match Results'!$C$6:$C$149,$A31,'Match Results'!$D$6:$D$149,$B31,'Match Results'!$E$6:$E$149,"League",'Match Results'!$I$6:$I$149,$D31,'Match Results'!$J$6:$J$149,"VALID")</f>
        <v>0</v>
      </c>
      <c r="F31" s="55">
        <f t="shared" si="1"/>
        <v>0</v>
      </c>
      <c r="G31" s="55">
        <f t="shared" si="2"/>
        <v>4</v>
      </c>
      <c r="H31" s="55" t="str">
        <f t="shared" si="3"/>
        <v/>
      </c>
      <c r="I31" s="56"/>
      <c r="J31" s="55">
        <f t="shared" si="4"/>
        <v>4</v>
      </c>
      <c r="K31" s="51" t="str">
        <f t="shared" si="5"/>
        <v>Carrom|Girls Doubles|A|4</v>
      </c>
    </row>
    <row r="32" spans="1:11">
      <c r="A32" s="53" t="s">
        <v>486</v>
      </c>
      <c r="B32" s="53" t="s">
        <v>475</v>
      </c>
      <c r="C32" s="53" t="s">
        <v>522</v>
      </c>
      <c r="D32" s="53" t="s">
        <v>43</v>
      </c>
      <c r="E32" s="55">
        <f>COUNTIFS('Match Results'!$C$6:$C$149,$A32,'Match Results'!$D$6:$D$149,$B32,'Match Results'!$E$6:$E$149,"League",'Match Results'!$I$6:$I$149,$D32,'Match Results'!$J$6:$J$149,"VALID")</f>
        <v>1</v>
      </c>
      <c r="F32" s="55">
        <f t="shared" si="1"/>
        <v>10</v>
      </c>
      <c r="G32" s="55">
        <f t="shared" si="2"/>
        <v>3</v>
      </c>
      <c r="H32" s="55" t="str">
        <f t="shared" si="3"/>
        <v/>
      </c>
      <c r="I32" s="56"/>
      <c r="J32" s="55">
        <f t="shared" si="4"/>
        <v>3</v>
      </c>
      <c r="K32" s="51" t="str">
        <f t="shared" si="5"/>
        <v>Carrom|Girls Doubles|A|3</v>
      </c>
    </row>
    <row r="33" spans="1:11">
      <c r="A33" s="53" t="s">
        <v>486</v>
      </c>
      <c r="B33" s="53" t="s">
        <v>475</v>
      </c>
      <c r="C33" s="53" t="s">
        <v>522</v>
      </c>
      <c r="D33" s="53" t="s">
        <v>44</v>
      </c>
      <c r="E33" s="55">
        <f>COUNTIFS('Match Results'!$C$6:$C$149,$A33,'Match Results'!$D$6:$D$149,$B33,'Match Results'!$E$6:$E$149,"League",'Match Results'!$I$6:$I$149,$D33,'Match Results'!$J$6:$J$149,"VALID")</f>
        <v>2</v>
      </c>
      <c r="F33" s="55">
        <f t="shared" si="1"/>
        <v>20</v>
      </c>
      <c r="G33" s="55">
        <f t="shared" si="2"/>
        <v>2</v>
      </c>
      <c r="H33" s="55" t="str">
        <f t="shared" si="3"/>
        <v/>
      </c>
      <c r="I33" s="56"/>
      <c r="J33" s="55">
        <f t="shared" si="4"/>
        <v>2</v>
      </c>
      <c r="K33" s="51" t="str">
        <f t="shared" si="5"/>
        <v>Carrom|Girls Doubles|A|2</v>
      </c>
    </row>
    <row r="34" spans="1:11">
      <c r="A34" s="53" t="s">
        <v>486</v>
      </c>
      <c r="B34" s="53" t="s">
        <v>475</v>
      </c>
      <c r="C34" s="53" t="s">
        <v>522</v>
      </c>
      <c r="D34" s="53" t="s">
        <v>45</v>
      </c>
      <c r="E34" s="55">
        <f>COUNTIFS('Match Results'!$C$6:$C$149,$A34,'Match Results'!$D$6:$D$149,$B34,'Match Results'!$E$6:$E$149,"League",'Match Results'!$I$6:$I$149,$D34,'Match Results'!$J$6:$J$149,"VALID")</f>
        <v>3</v>
      </c>
      <c r="F34" s="55">
        <f t="shared" si="1"/>
        <v>30</v>
      </c>
      <c r="G34" s="55">
        <f t="shared" si="2"/>
        <v>1</v>
      </c>
      <c r="H34" s="55" t="str">
        <f t="shared" si="3"/>
        <v/>
      </c>
      <c r="I34" s="56"/>
      <c r="J34" s="55">
        <f t="shared" si="4"/>
        <v>1</v>
      </c>
      <c r="K34" s="51" t="str">
        <f t="shared" si="5"/>
        <v>Carrom|Girls Doubles|A|1</v>
      </c>
    </row>
    <row r="35" spans="1:11">
      <c r="A35" s="53" t="s">
        <v>486</v>
      </c>
      <c r="B35" s="53" t="s">
        <v>475</v>
      </c>
      <c r="C35" s="53" t="s">
        <v>526</v>
      </c>
      <c r="D35" s="53" t="s">
        <v>46</v>
      </c>
      <c r="E35" s="55">
        <f>COUNTIFS('Match Results'!$C$6:$C$149,$A35,'Match Results'!$D$6:$D$149,$B35,'Match Results'!$E$6:$E$149,"League",'Match Results'!$I$6:$I$149,$D35,'Match Results'!$J$6:$J$149,"VALID")</f>
        <v>0</v>
      </c>
      <c r="F35" s="55">
        <f t="shared" si="1"/>
        <v>0</v>
      </c>
      <c r="G35" s="55">
        <f t="shared" si="2"/>
        <v>4</v>
      </c>
      <c r="H35" s="55" t="str">
        <f t="shared" si="3"/>
        <v/>
      </c>
      <c r="I35" s="56"/>
      <c r="J35" s="55">
        <f t="shared" si="4"/>
        <v>4</v>
      </c>
      <c r="K35" s="51" t="str">
        <f t="shared" si="5"/>
        <v>Carrom|Girls Doubles|B|4</v>
      </c>
    </row>
    <row r="36" spans="1:11">
      <c r="A36" s="53" t="s">
        <v>486</v>
      </c>
      <c r="B36" s="53" t="s">
        <v>475</v>
      </c>
      <c r="C36" s="53" t="s">
        <v>526</v>
      </c>
      <c r="D36" s="53" t="s">
        <v>47</v>
      </c>
      <c r="E36" s="55">
        <f>COUNTIFS('Match Results'!$C$6:$C$149,$A36,'Match Results'!$D$6:$D$149,$B36,'Match Results'!$E$6:$E$149,"League",'Match Results'!$I$6:$I$149,$D36,'Match Results'!$J$6:$J$149,"VALID")</f>
        <v>1</v>
      </c>
      <c r="F36" s="55">
        <f t="shared" si="1"/>
        <v>10</v>
      </c>
      <c r="G36" s="55">
        <f t="shared" si="2"/>
        <v>3</v>
      </c>
      <c r="H36" s="55" t="str">
        <f t="shared" si="3"/>
        <v/>
      </c>
      <c r="I36" s="56"/>
      <c r="J36" s="55">
        <f t="shared" si="4"/>
        <v>3</v>
      </c>
      <c r="K36" s="51" t="str">
        <f t="shared" si="5"/>
        <v>Carrom|Girls Doubles|B|3</v>
      </c>
    </row>
    <row r="37" spans="1:11">
      <c r="A37" s="53" t="s">
        <v>486</v>
      </c>
      <c r="B37" s="53" t="s">
        <v>475</v>
      </c>
      <c r="C37" s="53" t="s">
        <v>526</v>
      </c>
      <c r="D37" s="53" t="s">
        <v>48</v>
      </c>
      <c r="E37" s="55">
        <f>COUNTIFS('Match Results'!$C$6:$C$149,$A37,'Match Results'!$D$6:$D$149,$B37,'Match Results'!$E$6:$E$149,"League",'Match Results'!$I$6:$I$149,$D37,'Match Results'!$J$6:$J$149,"VALID")</f>
        <v>2</v>
      </c>
      <c r="F37" s="55">
        <f t="shared" si="1"/>
        <v>20</v>
      </c>
      <c r="G37" s="55">
        <f t="shared" si="2"/>
        <v>2</v>
      </c>
      <c r="H37" s="55" t="str">
        <f t="shared" si="3"/>
        <v/>
      </c>
      <c r="I37" s="56"/>
      <c r="J37" s="55">
        <f t="shared" si="4"/>
        <v>2</v>
      </c>
      <c r="K37" s="51" t="str">
        <f t="shared" si="5"/>
        <v>Carrom|Girls Doubles|B|2</v>
      </c>
    </row>
    <row r="38" spans="1:11">
      <c r="A38" s="53" t="s">
        <v>486</v>
      </c>
      <c r="B38" s="53" t="s">
        <v>475</v>
      </c>
      <c r="C38" s="53" t="s">
        <v>526</v>
      </c>
      <c r="D38" s="53" t="s">
        <v>49</v>
      </c>
      <c r="E38" s="55">
        <f>COUNTIFS('Match Results'!$C$6:$C$149,$A38,'Match Results'!$D$6:$D$149,$B38,'Match Results'!$E$6:$E$149,"League",'Match Results'!$I$6:$I$149,$D38,'Match Results'!$J$6:$J$149,"VALID")</f>
        <v>3</v>
      </c>
      <c r="F38" s="55">
        <f t="shared" si="1"/>
        <v>30</v>
      </c>
      <c r="G38" s="55">
        <f t="shared" si="2"/>
        <v>1</v>
      </c>
      <c r="H38" s="55" t="str">
        <f t="shared" si="3"/>
        <v/>
      </c>
      <c r="I38" s="56"/>
      <c r="J38" s="55">
        <f t="shared" si="4"/>
        <v>1</v>
      </c>
      <c r="K38" s="51" t="str">
        <f t="shared" si="5"/>
        <v>Carrom|Girls Doubles|B|1</v>
      </c>
    </row>
    <row r="39" spans="1:11">
      <c r="A39" s="53" t="s">
        <v>486</v>
      </c>
      <c r="B39" s="53" t="s">
        <v>477</v>
      </c>
      <c r="C39" s="53" t="s">
        <v>522</v>
      </c>
      <c r="D39" s="53" t="s">
        <v>42</v>
      </c>
      <c r="E39" s="55">
        <f>COUNTIFS('Match Results'!$C$6:$C$149,$A39,'Match Results'!$D$6:$D$149,$B39,'Match Results'!$E$6:$E$149,"League",'Match Results'!$I$6:$I$149,$D39,'Match Results'!$J$6:$J$149,"VALID")</f>
        <v>0</v>
      </c>
      <c r="F39" s="55">
        <f t="shared" si="1"/>
        <v>0</v>
      </c>
      <c r="G39" s="55">
        <f t="shared" si="2"/>
        <v>4</v>
      </c>
      <c r="H39" s="55" t="str">
        <f t="shared" si="3"/>
        <v/>
      </c>
      <c r="I39" s="56"/>
      <c r="J39" s="55">
        <f t="shared" si="4"/>
        <v>4</v>
      </c>
      <c r="K39" s="51" t="str">
        <f t="shared" si="5"/>
        <v>Carrom|Mixed Doubles|A|4</v>
      </c>
    </row>
    <row r="40" spans="1:11">
      <c r="A40" s="53" t="s">
        <v>486</v>
      </c>
      <c r="B40" s="53" t="s">
        <v>477</v>
      </c>
      <c r="C40" s="53" t="s">
        <v>522</v>
      </c>
      <c r="D40" s="53" t="s">
        <v>43</v>
      </c>
      <c r="E40" s="55">
        <f>COUNTIFS('Match Results'!$C$6:$C$149,$A40,'Match Results'!$D$6:$D$149,$B40,'Match Results'!$E$6:$E$149,"League",'Match Results'!$I$6:$I$149,$D40,'Match Results'!$J$6:$J$149,"VALID")</f>
        <v>1</v>
      </c>
      <c r="F40" s="55">
        <f t="shared" si="1"/>
        <v>10</v>
      </c>
      <c r="G40" s="55">
        <f t="shared" si="2"/>
        <v>3</v>
      </c>
      <c r="H40" s="55" t="str">
        <f t="shared" si="3"/>
        <v/>
      </c>
      <c r="I40" s="56"/>
      <c r="J40" s="55">
        <f t="shared" si="4"/>
        <v>3</v>
      </c>
      <c r="K40" s="51" t="str">
        <f t="shared" si="5"/>
        <v>Carrom|Mixed Doubles|A|3</v>
      </c>
    </row>
    <row r="41" spans="1:11">
      <c r="A41" s="53" t="s">
        <v>486</v>
      </c>
      <c r="B41" s="53" t="s">
        <v>477</v>
      </c>
      <c r="C41" s="53" t="s">
        <v>522</v>
      </c>
      <c r="D41" s="53" t="s">
        <v>44</v>
      </c>
      <c r="E41" s="55">
        <f>COUNTIFS('Match Results'!$C$6:$C$149,$A41,'Match Results'!$D$6:$D$149,$B41,'Match Results'!$E$6:$E$149,"League",'Match Results'!$I$6:$I$149,$D41,'Match Results'!$J$6:$J$149,"VALID")</f>
        <v>2</v>
      </c>
      <c r="F41" s="55">
        <f t="shared" si="1"/>
        <v>20</v>
      </c>
      <c r="G41" s="55">
        <f t="shared" si="2"/>
        <v>2</v>
      </c>
      <c r="H41" s="55" t="str">
        <f t="shared" si="3"/>
        <v/>
      </c>
      <c r="I41" s="56"/>
      <c r="J41" s="55">
        <f t="shared" si="4"/>
        <v>2</v>
      </c>
      <c r="K41" s="51" t="str">
        <f t="shared" si="5"/>
        <v>Carrom|Mixed Doubles|A|2</v>
      </c>
    </row>
    <row r="42" spans="1:11">
      <c r="A42" s="53" t="s">
        <v>486</v>
      </c>
      <c r="B42" s="53" t="s">
        <v>477</v>
      </c>
      <c r="C42" s="53" t="s">
        <v>522</v>
      </c>
      <c r="D42" s="53" t="s">
        <v>45</v>
      </c>
      <c r="E42" s="55">
        <f>COUNTIFS('Match Results'!$C$6:$C$149,$A42,'Match Results'!$D$6:$D$149,$B42,'Match Results'!$E$6:$E$149,"League",'Match Results'!$I$6:$I$149,$D42,'Match Results'!$J$6:$J$149,"VALID")</f>
        <v>3</v>
      </c>
      <c r="F42" s="55">
        <f t="shared" si="1"/>
        <v>30</v>
      </c>
      <c r="G42" s="55">
        <f t="shared" si="2"/>
        <v>1</v>
      </c>
      <c r="H42" s="55" t="str">
        <f t="shared" si="3"/>
        <v/>
      </c>
      <c r="I42" s="56"/>
      <c r="J42" s="55">
        <f t="shared" si="4"/>
        <v>1</v>
      </c>
      <c r="K42" s="51" t="str">
        <f t="shared" si="5"/>
        <v>Carrom|Mixed Doubles|A|1</v>
      </c>
    </row>
    <row r="43" spans="1:11">
      <c r="A43" s="53" t="s">
        <v>486</v>
      </c>
      <c r="B43" s="53" t="s">
        <v>477</v>
      </c>
      <c r="C43" s="53" t="s">
        <v>526</v>
      </c>
      <c r="D43" s="53" t="s">
        <v>46</v>
      </c>
      <c r="E43" s="55">
        <f>COUNTIFS('Match Results'!$C$6:$C$149,$A43,'Match Results'!$D$6:$D$149,$B43,'Match Results'!$E$6:$E$149,"League",'Match Results'!$I$6:$I$149,$D43,'Match Results'!$J$6:$J$149,"VALID")</f>
        <v>0</v>
      </c>
      <c r="F43" s="55">
        <f t="shared" si="1"/>
        <v>0</v>
      </c>
      <c r="G43" s="55">
        <f t="shared" si="2"/>
        <v>4</v>
      </c>
      <c r="H43" s="55" t="str">
        <f t="shared" si="3"/>
        <v/>
      </c>
      <c r="I43" s="56"/>
      <c r="J43" s="55">
        <f t="shared" si="4"/>
        <v>4</v>
      </c>
      <c r="K43" s="51" t="str">
        <f t="shared" si="5"/>
        <v>Carrom|Mixed Doubles|B|4</v>
      </c>
    </row>
    <row r="44" spans="1:11">
      <c r="A44" s="53" t="s">
        <v>486</v>
      </c>
      <c r="B44" s="53" t="s">
        <v>477</v>
      </c>
      <c r="C44" s="53" t="s">
        <v>526</v>
      </c>
      <c r="D44" s="53" t="s">
        <v>47</v>
      </c>
      <c r="E44" s="55">
        <f>COUNTIFS('Match Results'!$C$6:$C$149,$A44,'Match Results'!$D$6:$D$149,$B44,'Match Results'!$E$6:$E$149,"League",'Match Results'!$I$6:$I$149,$D44,'Match Results'!$J$6:$J$149,"VALID")</f>
        <v>1</v>
      </c>
      <c r="F44" s="55">
        <f t="shared" si="1"/>
        <v>10</v>
      </c>
      <c r="G44" s="55">
        <f t="shared" si="2"/>
        <v>3</v>
      </c>
      <c r="H44" s="55" t="str">
        <f t="shared" si="3"/>
        <v/>
      </c>
      <c r="I44" s="56"/>
      <c r="J44" s="55">
        <f t="shared" si="4"/>
        <v>3</v>
      </c>
      <c r="K44" s="51" t="str">
        <f t="shared" si="5"/>
        <v>Carrom|Mixed Doubles|B|3</v>
      </c>
    </row>
    <row r="45" spans="1:11">
      <c r="A45" s="53" t="s">
        <v>486</v>
      </c>
      <c r="B45" s="53" t="s">
        <v>477</v>
      </c>
      <c r="C45" s="53" t="s">
        <v>526</v>
      </c>
      <c r="D45" s="53" t="s">
        <v>48</v>
      </c>
      <c r="E45" s="55">
        <f>COUNTIFS('Match Results'!$C$6:$C$149,$A45,'Match Results'!$D$6:$D$149,$B45,'Match Results'!$E$6:$E$149,"League",'Match Results'!$I$6:$I$149,$D45,'Match Results'!$J$6:$J$149,"VALID")</f>
        <v>2</v>
      </c>
      <c r="F45" s="55">
        <f t="shared" si="1"/>
        <v>20</v>
      </c>
      <c r="G45" s="55">
        <f t="shared" si="2"/>
        <v>2</v>
      </c>
      <c r="H45" s="55" t="str">
        <f t="shared" si="3"/>
        <v/>
      </c>
      <c r="I45" s="56"/>
      <c r="J45" s="55">
        <f t="shared" si="4"/>
        <v>2</v>
      </c>
      <c r="K45" s="51" t="str">
        <f t="shared" si="5"/>
        <v>Carrom|Mixed Doubles|B|2</v>
      </c>
    </row>
    <row r="46" spans="1:11">
      <c r="A46" s="53" t="s">
        <v>486</v>
      </c>
      <c r="B46" s="53" t="s">
        <v>477</v>
      </c>
      <c r="C46" s="53" t="s">
        <v>526</v>
      </c>
      <c r="D46" s="53" t="s">
        <v>49</v>
      </c>
      <c r="E46" s="55">
        <f>COUNTIFS('Match Results'!$C$6:$C$149,$A46,'Match Results'!$D$6:$D$149,$B46,'Match Results'!$E$6:$E$149,"League",'Match Results'!$I$6:$I$149,$D46,'Match Results'!$J$6:$J$149,"VALID")</f>
        <v>3</v>
      </c>
      <c r="F46" s="55">
        <f t="shared" si="1"/>
        <v>30</v>
      </c>
      <c r="G46" s="55">
        <f t="shared" si="2"/>
        <v>1</v>
      </c>
      <c r="H46" s="55" t="str">
        <f t="shared" si="3"/>
        <v/>
      </c>
      <c r="I46" s="56"/>
      <c r="J46" s="55">
        <f t="shared" si="4"/>
        <v>1</v>
      </c>
      <c r="K46" s="51" t="str">
        <f t="shared" si="5"/>
        <v>Carrom|Mixed Doubles|B|1</v>
      </c>
    </row>
    <row r="47" spans="1:11">
      <c r="A47" s="53" t="s">
        <v>483</v>
      </c>
      <c r="B47" s="53" t="s">
        <v>472</v>
      </c>
      <c r="C47" s="53" t="s">
        <v>522</v>
      </c>
      <c r="D47" s="53" t="s">
        <v>42</v>
      </c>
      <c r="E47" s="55">
        <f>COUNTIFS('Match Results'!$C$6:$C$149,$A47,'Match Results'!$D$6:$D$149,$B47,'Match Results'!$E$6:$E$149,"League",'Match Results'!$I$6:$I$149,$D47,'Match Results'!$J$6:$J$149,"VALID")</f>
        <v>0</v>
      </c>
      <c r="F47" s="55">
        <f t="shared" si="1"/>
        <v>0</v>
      </c>
      <c r="G47" s="55">
        <f t="shared" si="2"/>
        <v>4</v>
      </c>
      <c r="H47" s="55" t="str">
        <f t="shared" si="3"/>
        <v/>
      </c>
      <c r="I47" s="56"/>
      <c r="J47" s="55">
        <f t="shared" si="4"/>
        <v>4</v>
      </c>
      <c r="K47" s="51" t="str">
        <f t="shared" si="5"/>
        <v>Table Tennis|Boys Doubles|A|4</v>
      </c>
    </row>
    <row r="48" spans="1:11">
      <c r="A48" s="53" t="s">
        <v>483</v>
      </c>
      <c r="B48" s="53" t="s">
        <v>472</v>
      </c>
      <c r="C48" s="53" t="s">
        <v>522</v>
      </c>
      <c r="D48" s="53" t="s">
        <v>43</v>
      </c>
      <c r="E48" s="55">
        <f>COUNTIFS('Match Results'!$C$6:$C$149,$A48,'Match Results'!$D$6:$D$149,$B48,'Match Results'!$E$6:$E$149,"League",'Match Results'!$I$6:$I$149,$D48,'Match Results'!$J$6:$J$149,"VALID")</f>
        <v>1</v>
      </c>
      <c r="F48" s="55">
        <f t="shared" si="1"/>
        <v>10</v>
      </c>
      <c r="G48" s="55">
        <f t="shared" si="2"/>
        <v>3</v>
      </c>
      <c r="H48" s="55" t="str">
        <f t="shared" si="3"/>
        <v/>
      </c>
      <c r="I48" s="56"/>
      <c r="J48" s="55">
        <f t="shared" si="4"/>
        <v>3</v>
      </c>
      <c r="K48" s="51" t="str">
        <f t="shared" si="5"/>
        <v>Table Tennis|Boys Doubles|A|3</v>
      </c>
    </row>
    <row r="49" spans="1:11">
      <c r="A49" s="53" t="s">
        <v>483</v>
      </c>
      <c r="B49" s="53" t="s">
        <v>472</v>
      </c>
      <c r="C49" s="53" t="s">
        <v>522</v>
      </c>
      <c r="D49" s="53" t="s">
        <v>44</v>
      </c>
      <c r="E49" s="55">
        <f>COUNTIFS('Match Results'!$C$6:$C$149,$A49,'Match Results'!$D$6:$D$149,$B49,'Match Results'!$E$6:$E$149,"League",'Match Results'!$I$6:$I$149,$D49,'Match Results'!$J$6:$J$149,"VALID")</f>
        <v>2</v>
      </c>
      <c r="F49" s="55">
        <f t="shared" si="1"/>
        <v>20</v>
      </c>
      <c r="G49" s="55">
        <f t="shared" si="2"/>
        <v>2</v>
      </c>
      <c r="H49" s="55" t="str">
        <f t="shared" si="3"/>
        <v/>
      </c>
      <c r="I49" s="56"/>
      <c r="J49" s="55">
        <f t="shared" si="4"/>
        <v>2</v>
      </c>
      <c r="K49" s="51" t="str">
        <f t="shared" si="5"/>
        <v>Table Tennis|Boys Doubles|A|2</v>
      </c>
    </row>
    <row r="50" spans="1:11">
      <c r="A50" s="53" t="s">
        <v>483</v>
      </c>
      <c r="B50" s="53" t="s">
        <v>472</v>
      </c>
      <c r="C50" s="53" t="s">
        <v>522</v>
      </c>
      <c r="D50" s="53" t="s">
        <v>45</v>
      </c>
      <c r="E50" s="55">
        <f>COUNTIFS('Match Results'!$C$6:$C$149,$A50,'Match Results'!$D$6:$D$149,$B50,'Match Results'!$E$6:$E$149,"League",'Match Results'!$I$6:$I$149,$D50,'Match Results'!$J$6:$J$149,"VALID")</f>
        <v>3</v>
      </c>
      <c r="F50" s="55">
        <f t="shared" si="1"/>
        <v>30</v>
      </c>
      <c r="G50" s="55">
        <f t="shared" si="2"/>
        <v>1</v>
      </c>
      <c r="H50" s="55" t="str">
        <f t="shared" si="3"/>
        <v/>
      </c>
      <c r="I50" s="56"/>
      <c r="J50" s="55">
        <f t="shared" si="4"/>
        <v>1</v>
      </c>
      <c r="K50" s="51" t="str">
        <f t="shared" si="5"/>
        <v>Table Tennis|Boys Doubles|A|1</v>
      </c>
    </row>
    <row r="51" spans="1:11">
      <c r="A51" s="53" t="s">
        <v>483</v>
      </c>
      <c r="B51" s="53" t="s">
        <v>472</v>
      </c>
      <c r="C51" s="53" t="s">
        <v>526</v>
      </c>
      <c r="D51" s="53" t="s">
        <v>46</v>
      </c>
      <c r="E51" s="55">
        <f>COUNTIFS('Match Results'!$C$6:$C$149,$A51,'Match Results'!$D$6:$D$149,$B51,'Match Results'!$E$6:$E$149,"League",'Match Results'!$I$6:$I$149,$D51,'Match Results'!$J$6:$J$149,"VALID")</f>
        <v>0</v>
      </c>
      <c r="F51" s="55">
        <f t="shared" si="1"/>
        <v>0</v>
      </c>
      <c r="G51" s="55">
        <f t="shared" si="2"/>
        <v>4</v>
      </c>
      <c r="H51" s="55" t="str">
        <f t="shared" si="3"/>
        <v/>
      </c>
      <c r="I51" s="56"/>
      <c r="J51" s="55">
        <f t="shared" si="4"/>
        <v>4</v>
      </c>
      <c r="K51" s="51" t="str">
        <f t="shared" si="5"/>
        <v>Table Tennis|Boys Doubles|B|4</v>
      </c>
    </row>
    <row r="52" spans="1:11">
      <c r="A52" s="53" t="s">
        <v>483</v>
      </c>
      <c r="B52" s="53" t="s">
        <v>472</v>
      </c>
      <c r="C52" s="53" t="s">
        <v>526</v>
      </c>
      <c r="D52" s="53" t="s">
        <v>47</v>
      </c>
      <c r="E52" s="55">
        <f>COUNTIFS('Match Results'!$C$6:$C$149,$A52,'Match Results'!$D$6:$D$149,$B52,'Match Results'!$E$6:$E$149,"League",'Match Results'!$I$6:$I$149,$D52,'Match Results'!$J$6:$J$149,"VALID")</f>
        <v>1</v>
      </c>
      <c r="F52" s="55">
        <f t="shared" si="1"/>
        <v>10</v>
      </c>
      <c r="G52" s="55">
        <f t="shared" si="2"/>
        <v>3</v>
      </c>
      <c r="H52" s="55" t="str">
        <f t="shared" si="3"/>
        <v/>
      </c>
      <c r="I52" s="56"/>
      <c r="J52" s="55">
        <f t="shared" si="4"/>
        <v>3</v>
      </c>
      <c r="K52" s="51" t="str">
        <f t="shared" si="5"/>
        <v>Table Tennis|Boys Doubles|B|3</v>
      </c>
    </row>
    <row r="53" spans="1:11">
      <c r="A53" s="53" t="s">
        <v>483</v>
      </c>
      <c r="B53" s="53" t="s">
        <v>472</v>
      </c>
      <c r="C53" s="53" t="s">
        <v>526</v>
      </c>
      <c r="D53" s="53" t="s">
        <v>48</v>
      </c>
      <c r="E53" s="55">
        <f>COUNTIFS('Match Results'!$C$6:$C$149,$A53,'Match Results'!$D$6:$D$149,$B53,'Match Results'!$E$6:$E$149,"League",'Match Results'!$I$6:$I$149,$D53,'Match Results'!$J$6:$J$149,"VALID")</f>
        <v>2</v>
      </c>
      <c r="F53" s="55">
        <f t="shared" si="1"/>
        <v>20</v>
      </c>
      <c r="G53" s="55">
        <f t="shared" si="2"/>
        <v>2</v>
      </c>
      <c r="H53" s="55" t="str">
        <f t="shared" si="3"/>
        <v/>
      </c>
      <c r="I53" s="56"/>
      <c r="J53" s="55">
        <f t="shared" si="4"/>
        <v>2</v>
      </c>
      <c r="K53" s="51" t="str">
        <f t="shared" si="5"/>
        <v>Table Tennis|Boys Doubles|B|2</v>
      </c>
    </row>
    <row r="54" spans="1:11">
      <c r="A54" s="53" t="s">
        <v>483</v>
      </c>
      <c r="B54" s="53" t="s">
        <v>472</v>
      </c>
      <c r="C54" s="53" t="s">
        <v>526</v>
      </c>
      <c r="D54" s="53" t="s">
        <v>49</v>
      </c>
      <c r="E54" s="55">
        <f>COUNTIFS('Match Results'!$C$6:$C$149,$A54,'Match Results'!$D$6:$D$149,$B54,'Match Results'!$E$6:$E$149,"League",'Match Results'!$I$6:$I$149,$D54,'Match Results'!$J$6:$J$149,"VALID")</f>
        <v>3</v>
      </c>
      <c r="F54" s="55">
        <f t="shared" si="1"/>
        <v>30</v>
      </c>
      <c r="G54" s="55">
        <f t="shared" si="2"/>
        <v>1</v>
      </c>
      <c r="H54" s="55" t="str">
        <f t="shared" si="3"/>
        <v/>
      </c>
      <c r="I54" s="56"/>
      <c r="J54" s="55">
        <f t="shared" si="4"/>
        <v>1</v>
      </c>
      <c r="K54" s="51" t="str">
        <f t="shared" si="5"/>
        <v>Table Tennis|Boys Doubles|B|1</v>
      </c>
    </row>
    <row r="55" spans="1:11">
      <c r="A55" s="53" t="s">
        <v>483</v>
      </c>
      <c r="B55" s="53" t="s">
        <v>477</v>
      </c>
      <c r="C55" s="53" t="s">
        <v>522</v>
      </c>
      <c r="D55" s="53" t="s">
        <v>42</v>
      </c>
      <c r="E55" s="55">
        <f>COUNTIFS('Match Results'!$C$6:$C$149,$A55,'Match Results'!$D$6:$D$149,$B55,'Match Results'!$E$6:$E$149,"League",'Match Results'!$I$6:$I$149,$D55,'Match Results'!$J$6:$J$149,"VALID")</f>
        <v>0</v>
      </c>
      <c r="F55" s="55">
        <f t="shared" ref="F55:F86" si="6">E55*10</f>
        <v>0</v>
      </c>
      <c r="G55" s="55">
        <f t="shared" ref="G55:G86" si="7">1+COUNTIFS($A$23:$A$118,$A55,$B$23:$B$118,$B55,$C$23:$C$118,$C55,$F$23:$F$118,"&gt;"&amp;$F55)+COUNTIFS($A$23:$A$118,$A55,$B$23:$B$118,$B55,$C$23:$C$118,$C55,$F$23:$F$118,$F55,$D$23:$D$118,"&lt;"&amp;$D55)</f>
        <v>4</v>
      </c>
      <c r="H55" s="55" t="str">
        <f t="shared" ref="H55:H86" si="8">IF(COUNTIFS($A$23:$A$118,$A55,$B$23:$B$118,$B55,$C$23:$C$118,$C55,$F$23:$F$118,$F55)&gt;1,"TIE - REVIEW","")</f>
        <v/>
      </c>
      <c r="I55" s="56"/>
      <c r="J55" s="55">
        <f t="shared" ref="J55:J86" si="9">IF(I55="",G55,I55)</f>
        <v>4</v>
      </c>
      <c r="K55" s="51" t="str">
        <f t="shared" ref="K55:K86" si="10">$A55&amp;"|"&amp;$B55&amp;"|"&amp;$C55&amp;"|"&amp;$J55</f>
        <v>Table Tennis|Mixed Doubles|A|4</v>
      </c>
    </row>
    <row r="56" spans="1:11">
      <c r="A56" s="53" t="s">
        <v>483</v>
      </c>
      <c r="B56" s="53" t="s">
        <v>477</v>
      </c>
      <c r="C56" s="53" t="s">
        <v>522</v>
      </c>
      <c r="D56" s="53" t="s">
        <v>43</v>
      </c>
      <c r="E56" s="55">
        <f>COUNTIFS('Match Results'!$C$6:$C$149,$A56,'Match Results'!$D$6:$D$149,$B56,'Match Results'!$E$6:$E$149,"League",'Match Results'!$I$6:$I$149,$D56,'Match Results'!$J$6:$J$149,"VALID")</f>
        <v>1</v>
      </c>
      <c r="F56" s="55">
        <f t="shared" si="6"/>
        <v>10</v>
      </c>
      <c r="G56" s="55">
        <f t="shared" si="7"/>
        <v>3</v>
      </c>
      <c r="H56" s="55" t="str">
        <f t="shared" si="8"/>
        <v/>
      </c>
      <c r="I56" s="56"/>
      <c r="J56" s="55">
        <f t="shared" si="9"/>
        <v>3</v>
      </c>
      <c r="K56" s="51" t="str">
        <f t="shared" si="10"/>
        <v>Table Tennis|Mixed Doubles|A|3</v>
      </c>
    </row>
    <row r="57" spans="1:11">
      <c r="A57" s="53" t="s">
        <v>483</v>
      </c>
      <c r="B57" s="53" t="s">
        <v>477</v>
      </c>
      <c r="C57" s="53" t="s">
        <v>522</v>
      </c>
      <c r="D57" s="53" t="s">
        <v>44</v>
      </c>
      <c r="E57" s="55">
        <f>COUNTIFS('Match Results'!$C$6:$C$149,$A57,'Match Results'!$D$6:$D$149,$B57,'Match Results'!$E$6:$E$149,"League",'Match Results'!$I$6:$I$149,$D57,'Match Results'!$J$6:$J$149,"VALID")</f>
        <v>2</v>
      </c>
      <c r="F57" s="55">
        <f t="shared" si="6"/>
        <v>20</v>
      </c>
      <c r="G57" s="55">
        <f t="shared" si="7"/>
        <v>2</v>
      </c>
      <c r="H57" s="55" t="str">
        <f t="shared" si="8"/>
        <v/>
      </c>
      <c r="I57" s="56"/>
      <c r="J57" s="55">
        <f t="shared" si="9"/>
        <v>2</v>
      </c>
      <c r="K57" s="51" t="str">
        <f t="shared" si="10"/>
        <v>Table Tennis|Mixed Doubles|A|2</v>
      </c>
    </row>
    <row r="58" spans="1:11">
      <c r="A58" s="53" t="s">
        <v>483</v>
      </c>
      <c r="B58" s="53" t="s">
        <v>477</v>
      </c>
      <c r="C58" s="53" t="s">
        <v>522</v>
      </c>
      <c r="D58" s="53" t="s">
        <v>45</v>
      </c>
      <c r="E58" s="55">
        <f>COUNTIFS('Match Results'!$C$6:$C$149,$A58,'Match Results'!$D$6:$D$149,$B58,'Match Results'!$E$6:$E$149,"League",'Match Results'!$I$6:$I$149,$D58,'Match Results'!$J$6:$J$149,"VALID")</f>
        <v>3</v>
      </c>
      <c r="F58" s="55">
        <f t="shared" si="6"/>
        <v>30</v>
      </c>
      <c r="G58" s="55">
        <f t="shared" si="7"/>
        <v>1</v>
      </c>
      <c r="H58" s="55" t="str">
        <f t="shared" si="8"/>
        <v/>
      </c>
      <c r="I58" s="56"/>
      <c r="J58" s="55">
        <f t="shared" si="9"/>
        <v>1</v>
      </c>
      <c r="K58" s="51" t="str">
        <f t="shared" si="10"/>
        <v>Table Tennis|Mixed Doubles|A|1</v>
      </c>
    </row>
    <row r="59" spans="1:11">
      <c r="A59" s="53" t="s">
        <v>483</v>
      </c>
      <c r="B59" s="53" t="s">
        <v>477</v>
      </c>
      <c r="C59" s="53" t="s">
        <v>526</v>
      </c>
      <c r="D59" s="53" t="s">
        <v>46</v>
      </c>
      <c r="E59" s="55">
        <f>COUNTIFS('Match Results'!$C$6:$C$149,$A59,'Match Results'!$D$6:$D$149,$B59,'Match Results'!$E$6:$E$149,"League",'Match Results'!$I$6:$I$149,$D59,'Match Results'!$J$6:$J$149,"VALID")</f>
        <v>0</v>
      </c>
      <c r="F59" s="55">
        <f t="shared" si="6"/>
        <v>0</v>
      </c>
      <c r="G59" s="55">
        <f t="shared" si="7"/>
        <v>4</v>
      </c>
      <c r="H59" s="55" t="str">
        <f t="shared" si="8"/>
        <v/>
      </c>
      <c r="I59" s="56"/>
      <c r="J59" s="55">
        <f t="shared" si="9"/>
        <v>4</v>
      </c>
      <c r="K59" s="51" t="str">
        <f t="shared" si="10"/>
        <v>Table Tennis|Mixed Doubles|B|4</v>
      </c>
    </row>
    <row r="60" spans="1:11">
      <c r="A60" s="53" t="s">
        <v>483</v>
      </c>
      <c r="B60" s="53" t="s">
        <v>477</v>
      </c>
      <c r="C60" s="53" t="s">
        <v>526</v>
      </c>
      <c r="D60" s="53" t="s">
        <v>47</v>
      </c>
      <c r="E60" s="55">
        <f>COUNTIFS('Match Results'!$C$6:$C$149,$A60,'Match Results'!$D$6:$D$149,$B60,'Match Results'!$E$6:$E$149,"League",'Match Results'!$I$6:$I$149,$D60,'Match Results'!$J$6:$J$149,"VALID")</f>
        <v>1</v>
      </c>
      <c r="F60" s="55">
        <f t="shared" si="6"/>
        <v>10</v>
      </c>
      <c r="G60" s="55">
        <f t="shared" si="7"/>
        <v>3</v>
      </c>
      <c r="H60" s="55" t="str">
        <f t="shared" si="8"/>
        <v/>
      </c>
      <c r="I60" s="56"/>
      <c r="J60" s="55">
        <f t="shared" si="9"/>
        <v>3</v>
      </c>
      <c r="K60" s="51" t="str">
        <f t="shared" si="10"/>
        <v>Table Tennis|Mixed Doubles|B|3</v>
      </c>
    </row>
    <row r="61" spans="1:11">
      <c r="A61" s="53" t="s">
        <v>483</v>
      </c>
      <c r="B61" s="53" t="s">
        <v>477</v>
      </c>
      <c r="C61" s="53" t="s">
        <v>526</v>
      </c>
      <c r="D61" s="53" t="s">
        <v>48</v>
      </c>
      <c r="E61" s="55">
        <f>COUNTIFS('Match Results'!$C$6:$C$149,$A61,'Match Results'!$D$6:$D$149,$B61,'Match Results'!$E$6:$E$149,"League",'Match Results'!$I$6:$I$149,$D61,'Match Results'!$J$6:$J$149,"VALID")</f>
        <v>2</v>
      </c>
      <c r="F61" s="55">
        <f t="shared" si="6"/>
        <v>20</v>
      </c>
      <c r="G61" s="55">
        <f t="shared" si="7"/>
        <v>2</v>
      </c>
      <c r="H61" s="55" t="str">
        <f t="shared" si="8"/>
        <v/>
      </c>
      <c r="I61" s="56"/>
      <c r="J61" s="55">
        <f t="shared" si="9"/>
        <v>2</v>
      </c>
      <c r="K61" s="51" t="str">
        <f t="shared" si="10"/>
        <v>Table Tennis|Mixed Doubles|B|2</v>
      </c>
    </row>
    <row r="62" spans="1:11">
      <c r="A62" s="53" t="s">
        <v>483</v>
      </c>
      <c r="B62" s="53" t="s">
        <v>477</v>
      </c>
      <c r="C62" s="53" t="s">
        <v>526</v>
      </c>
      <c r="D62" s="53" t="s">
        <v>49</v>
      </c>
      <c r="E62" s="55">
        <f>COUNTIFS('Match Results'!$C$6:$C$149,$A62,'Match Results'!$D$6:$D$149,$B62,'Match Results'!$E$6:$E$149,"League",'Match Results'!$I$6:$I$149,$D62,'Match Results'!$J$6:$J$149,"VALID")</f>
        <v>3</v>
      </c>
      <c r="F62" s="55">
        <f t="shared" si="6"/>
        <v>30</v>
      </c>
      <c r="G62" s="55">
        <f t="shared" si="7"/>
        <v>1</v>
      </c>
      <c r="H62" s="55" t="str">
        <f t="shared" si="8"/>
        <v/>
      </c>
      <c r="I62" s="56"/>
      <c r="J62" s="55">
        <f t="shared" si="9"/>
        <v>1</v>
      </c>
      <c r="K62" s="51" t="str">
        <f t="shared" si="10"/>
        <v>Table Tennis|Mixed Doubles|B|1</v>
      </c>
    </row>
    <row r="63" spans="1:11">
      <c r="A63" s="53" t="s">
        <v>471</v>
      </c>
      <c r="B63" s="53" t="s">
        <v>472</v>
      </c>
      <c r="C63" s="53" t="s">
        <v>522</v>
      </c>
      <c r="D63" s="53" t="s">
        <v>42</v>
      </c>
      <c r="E63" s="55">
        <f>COUNTIFS('Match Results'!$C$6:$C$149,$A63,'Match Results'!$D$6:$D$149,$B63,'Match Results'!$E$6:$E$149,"League",'Match Results'!$I$6:$I$149,$D63,'Match Results'!$J$6:$J$149,"VALID")</f>
        <v>0</v>
      </c>
      <c r="F63" s="55">
        <f t="shared" si="6"/>
        <v>0</v>
      </c>
      <c r="G63" s="55">
        <f t="shared" si="7"/>
        <v>4</v>
      </c>
      <c r="H63" s="55" t="str">
        <f t="shared" si="8"/>
        <v/>
      </c>
      <c r="I63" s="56"/>
      <c r="J63" s="55">
        <f t="shared" si="9"/>
        <v>4</v>
      </c>
      <c r="K63" s="51" t="str">
        <f t="shared" si="10"/>
        <v>Badminton|Boys Doubles|A|4</v>
      </c>
    </row>
    <row r="64" spans="1:11">
      <c r="A64" s="53" t="s">
        <v>471</v>
      </c>
      <c r="B64" s="53" t="s">
        <v>472</v>
      </c>
      <c r="C64" s="53" t="s">
        <v>522</v>
      </c>
      <c r="D64" s="53" t="s">
        <v>43</v>
      </c>
      <c r="E64" s="55">
        <f>COUNTIFS('Match Results'!$C$6:$C$149,$A64,'Match Results'!$D$6:$D$149,$B64,'Match Results'!$E$6:$E$149,"League",'Match Results'!$I$6:$I$149,$D64,'Match Results'!$J$6:$J$149,"VALID")</f>
        <v>1</v>
      </c>
      <c r="F64" s="55">
        <f t="shared" si="6"/>
        <v>10</v>
      </c>
      <c r="G64" s="55">
        <f t="shared" si="7"/>
        <v>3</v>
      </c>
      <c r="H64" s="55" t="str">
        <f t="shared" si="8"/>
        <v/>
      </c>
      <c r="I64" s="56"/>
      <c r="J64" s="55">
        <f t="shared" si="9"/>
        <v>3</v>
      </c>
      <c r="K64" s="51" t="str">
        <f t="shared" si="10"/>
        <v>Badminton|Boys Doubles|A|3</v>
      </c>
    </row>
    <row r="65" spans="1:11">
      <c r="A65" s="53" t="s">
        <v>471</v>
      </c>
      <c r="B65" s="53" t="s">
        <v>472</v>
      </c>
      <c r="C65" s="53" t="s">
        <v>522</v>
      </c>
      <c r="D65" s="53" t="s">
        <v>44</v>
      </c>
      <c r="E65" s="55">
        <f>COUNTIFS('Match Results'!$C$6:$C$149,$A65,'Match Results'!$D$6:$D$149,$B65,'Match Results'!$E$6:$E$149,"League",'Match Results'!$I$6:$I$149,$D65,'Match Results'!$J$6:$J$149,"VALID")</f>
        <v>2</v>
      </c>
      <c r="F65" s="55">
        <f t="shared" si="6"/>
        <v>20</v>
      </c>
      <c r="G65" s="55">
        <f t="shared" si="7"/>
        <v>2</v>
      </c>
      <c r="H65" s="55" t="str">
        <f t="shared" si="8"/>
        <v/>
      </c>
      <c r="I65" s="56"/>
      <c r="J65" s="55">
        <f t="shared" si="9"/>
        <v>2</v>
      </c>
      <c r="K65" s="51" t="str">
        <f t="shared" si="10"/>
        <v>Badminton|Boys Doubles|A|2</v>
      </c>
    </row>
    <row r="66" spans="1:11">
      <c r="A66" s="53" t="s">
        <v>471</v>
      </c>
      <c r="B66" s="53" t="s">
        <v>472</v>
      </c>
      <c r="C66" s="53" t="s">
        <v>522</v>
      </c>
      <c r="D66" s="53" t="s">
        <v>45</v>
      </c>
      <c r="E66" s="55">
        <f>COUNTIFS('Match Results'!$C$6:$C$149,$A66,'Match Results'!$D$6:$D$149,$B66,'Match Results'!$E$6:$E$149,"League",'Match Results'!$I$6:$I$149,$D66,'Match Results'!$J$6:$J$149,"VALID")</f>
        <v>3</v>
      </c>
      <c r="F66" s="55">
        <f t="shared" si="6"/>
        <v>30</v>
      </c>
      <c r="G66" s="55">
        <f t="shared" si="7"/>
        <v>1</v>
      </c>
      <c r="H66" s="55" t="str">
        <f t="shared" si="8"/>
        <v/>
      </c>
      <c r="I66" s="56"/>
      <c r="J66" s="55">
        <f t="shared" si="9"/>
        <v>1</v>
      </c>
      <c r="K66" s="51" t="str">
        <f t="shared" si="10"/>
        <v>Badminton|Boys Doubles|A|1</v>
      </c>
    </row>
    <row r="67" spans="1:11">
      <c r="A67" s="53" t="s">
        <v>471</v>
      </c>
      <c r="B67" s="53" t="s">
        <v>472</v>
      </c>
      <c r="C67" s="53" t="s">
        <v>526</v>
      </c>
      <c r="D67" s="53" t="s">
        <v>46</v>
      </c>
      <c r="E67" s="55">
        <f>COUNTIFS('Match Results'!$C$6:$C$149,$A67,'Match Results'!$D$6:$D$149,$B67,'Match Results'!$E$6:$E$149,"League",'Match Results'!$I$6:$I$149,$D67,'Match Results'!$J$6:$J$149,"VALID")</f>
        <v>0</v>
      </c>
      <c r="F67" s="55">
        <f t="shared" si="6"/>
        <v>0</v>
      </c>
      <c r="G67" s="55">
        <f t="shared" si="7"/>
        <v>4</v>
      </c>
      <c r="H67" s="55" t="str">
        <f t="shared" si="8"/>
        <v/>
      </c>
      <c r="I67" s="56"/>
      <c r="J67" s="55">
        <f t="shared" si="9"/>
        <v>4</v>
      </c>
      <c r="K67" s="51" t="str">
        <f t="shared" si="10"/>
        <v>Badminton|Boys Doubles|B|4</v>
      </c>
    </row>
    <row r="68" spans="1:11">
      <c r="A68" s="53" t="s">
        <v>471</v>
      </c>
      <c r="B68" s="53" t="s">
        <v>472</v>
      </c>
      <c r="C68" s="53" t="s">
        <v>526</v>
      </c>
      <c r="D68" s="53" t="s">
        <v>47</v>
      </c>
      <c r="E68" s="55">
        <f>COUNTIFS('Match Results'!$C$6:$C$149,$A68,'Match Results'!$D$6:$D$149,$B68,'Match Results'!$E$6:$E$149,"League",'Match Results'!$I$6:$I$149,$D68,'Match Results'!$J$6:$J$149,"VALID")</f>
        <v>1</v>
      </c>
      <c r="F68" s="55">
        <f t="shared" si="6"/>
        <v>10</v>
      </c>
      <c r="G68" s="55">
        <f t="shared" si="7"/>
        <v>3</v>
      </c>
      <c r="H68" s="55" t="str">
        <f t="shared" si="8"/>
        <v/>
      </c>
      <c r="I68" s="56"/>
      <c r="J68" s="55">
        <f t="shared" si="9"/>
        <v>3</v>
      </c>
      <c r="K68" s="51" t="str">
        <f t="shared" si="10"/>
        <v>Badminton|Boys Doubles|B|3</v>
      </c>
    </row>
    <row r="69" spans="1:11">
      <c r="A69" s="53" t="s">
        <v>471</v>
      </c>
      <c r="B69" s="53" t="s">
        <v>472</v>
      </c>
      <c r="C69" s="53" t="s">
        <v>526</v>
      </c>
      <c r="D69" s="53" t="s">
        <v>48</v>
      </c>
      <c r="E69" s="55">
        <f>COUNTIFS('Match Results'!$C$6:$C$149,$A69,'Match Results'!$D$6:$D$149,$B69,'Match Results'!$E$6:$E$149,"League",'Match Results'!$I$6:$I$149,$D69,'Match Results'!$J$6:$J$149,"VALID")</f>
        <v>2</v>
      </c>
      <c r="F69" s="55">
        <f t="shared" si="6"/>
        <v>20</v>
      </c>
      <c r="G69" s="55">
        <f t="shared" si="7"/>
        <v>2</v>
      </c>
      <c r="H69" s="55" t="str">
        <f t="shared" si="8"/>
        <v/>
      </c>
      <c r="I69" s="56"/>
      <c r="J69" s="55">
        <f t="shared" si="9"/>
        <v>2</v>
      </c>
      <c r="K69" s="51" t="str">
        <f t="shared" si="10"/>
        <v>Badminton|Boys Doubles|B|2</v>
      </c>
    </row>
    <row r="70" spans="1:11">
      <c r="A70" s="53" t="s">
        <v>471</v>
      </c>
      <c r="B70" s="53" t="s">
        <v>472</v>
      </c>
      <c r="C70" s="53" t="s">
        <v>526</v>
      </c>
      <c r="D70" s="53" t="s">
        <v>49</v>
      </c>
      <c r="E70" s="55">
        <f>COUNTIFS('Match Results'!$C$6:$C$149,$A70,'Match Results'!$D$6:$D$149,$B70,'Match Results'!$E$6:$E$149,"League",'Match Results'!$I$6:$I$149,$D70,'Match Results'!$J$6:$J$149,"VALID")</f>
        <v>3</v>
      </c>
      <c r="F70" s="55">
        <f t="shared" si="6"/>
        <v>30</v>
      </c>
      <c r="G70" s="55">
        <f t="shared" si="7"/>
        <v>1</v>
      </c>
      <c r="H70" s="55" t="str">
        <f t="shared" si="8"/>
        <v/>
      </c>
      <c r="I70" s="56"/>
      <c r="J70" s="55">
        <f t="shared" si="9"/>
        <v>1</v>
      </c>
      <c r="K70" s="51" t="str">
        <f t="shared" si="10"/>
        <v>Badminton|Boys Doubles|B|1</v>
      </c>
    </row>
    <row r="71" spans="1:11">
      <c r="A71" s="53" t="s">
        <v>471</v>
      </c>
      <c r="B71" s="53" t="s">
        <v>475</v>
      </c>
      <c r="C71" s="53" t="s">
        <v>522</v>
      </c>
      <c r="D71" s="53" t="s">
        <v>42</v>
      </c>
      <c r="E71" s="55">
        <f>COUNTIFS('Match Results'!$C$6:$C$149,$A71,'Match Results'!$D$6:$D$149,$B71,'Match Results'!$E$6:$E$149,"League",'Match Results'!$I$6:$I$149,$D71,'Match Results'!$J$6:$J$149,"VALID")</f>
        <v>0</v>
      </c>
      <c r="F71" s="55">
        <f t="shared" si="6"/>
        <v>0</v>
      </c>
      <c r="G71" s="55">
        <f t="shared" si="7"/>
        <v>4</v>
      </c>
      <c r="H71" s="55" t="str">
        <f t="shared" si="8"/>
        <v/>
      </c>
      <c r="I71" s="56"/>
      <c r="J71" s="55">
        <f t="shared" si="9"/>
        <v>4</v>
      </c>
      <c r="K71" s="51" t="str">
        <f t="shared" si="10"/>
        <v>Badminton|Girls Doubles|A|4</v>
      </c>
    </row>
    <row r="72" spans="1:11">
      <c r="A72" s="53" t="s">
        <v>471</v>
      </c>
      <c r="B72" s="53" t="s">
        <v>475</v>
      </c>
      <c r="C72" s="53" t="s">
        <v>522</v>
      </c>
      <c r="D72" s="53" t="s">
        <v>43</v>
      </c>
      <c r="E72" s="55">
        <f>COUNTIFS('Match Results'!$C$6:$C$149,$A72,'Match Results'!$D$6:$D$149,$B72,'Match Results'!$E$6:$E$149,"League",'Match Results'!$I$6:$I$149,$D72,'Match Results'!$J$6:$J$149,"VALID")</f>
        <v>1</v>
      </c>
      <c r="F72" s="55">
        <f t="shared" si="6"/>
        <v>10</v>
      </c>
      <c r="G72" s="55">
        <f t="shared" si="7"/>
        <v>3</v>
      </c>
      <c r="H72" s="55" t="str">
        <f t="shared" si="8"/>
        <v/>
      </c>
      <c r="I72" s="56"/>
      <c r="J72" s="55">
        <f t="shared" si="9"/>
        <v>3</v>
      </c>
      <c r="K72" s="51" t="str">
        <f t="shared" si="10"/>
        <v>Badminton|Girls Doubles|A|3</v>
      </c>
    </row>
    <row r="73" spans="1:11">
      <c r="A73" s="53" t="s">
        <v>471</v>
      </c>
      <c r="B73" s="53" t="s">
        <v>475</v>
      </c>
      <c r="C73" s="53" t="s">
        <v>522</v>
      </c>
      <c r="D73" s="53" t="s">
        <v>44</v>
      </c>
      <c r="E73" s="55">
        <f>COUNTIFS('Match Results'!$C$6:$C$149,$A73,'Match Results'!$D$6:$D$149,$B73,'Match Results'!$E$6:$E$149,"League",'Match Results'!$I$6:$I$149,$D73,'Match Results'!$J$6:$J$149,"VALID")</f>
        <v>2</v>
      </c>
      <c r="F73" s="55">
        <f t="shared" si="6"/>
        <v>20</v>
      </c>
      <c r="G73" s="55">
        <f t="shared" si="7"/>
        <v>2</v>
      </c>
      <c r="H73" s="55" t="str">
        <f t="shared" si="8"/>
        <v/>
      </c>
      <c r="I73" s="56"/>
      <c r="J73" s="55">
        <f t="shared" si="9"/>
        <v>2</v>
      </c>
      <c r="K73" s="51" t="str">
        <f t="shared" si="10"/>
        <v>Badminton|Girls Doubles|A|2</v>
      </c>
    </row>
    <row r="74" spans="1:11">
      <c r="A74" s="53" t="s">
        <v>471</v>
      </c>
      <c r="B74" s="53" t="s">
        <v>475</v>
      </c>
      <c r="C74" s="53" t="s">
        <v>522</v>
      </c>
      <c r="D74" s="53" t="s">
        <v>45</v>
      </c>
      <c r="E74" s="55">
        <f>COUNTIFS('Match Results'!$C$6:$C$149,$A74,'Match Results'!$D$6:$D$149,$B74,'Match Results'!$E$6:$E$149,"League",'Match Results'!$I$6:$I$149,$D74,'Match Results'!$J$6:$J$149,"VALID")</f>
        <v>3</v>
      </c>
      <c r="F74" s="55">
        <f t="shared" si="6"/>
        <v>30</v>
      </c>
      <c r="G74" s="55">
        <f t="shared" si="7"/>
        <v>1</v>
      </c>
      <c r="H74" s="55" t="str">
        <f t="shared" si="8"/>
        <v/>
      </c>
      <c r="I74" s="56"/>
      <c r="J74" s="55">
        <f t="shared" si="9"/>
        <v>1</v>
      </c>
      <c r="K74" s="51" t="str">
        <f t="shared" si="10"/>
        <v>Badminton|Girls Doubles|A|1</v>
      </c>
    </row>
    <row r="75" spans="1:11">
      <c r="A75" s="53" t="s">
        <v>471</v>
      </c>
      <c r="B75" s="53" t="s">
        <v>475</v>
      </c>
      <c r="C75" s="53" t="s">
        <v>526</v>
      </c>
      <c r="D75" s="53" t="s">
        <v>46</v>
      </c>
      <c r="E75" s="55">
        <f>COUNTIFS('Match Results'!$C$6:$C$149,$A75,'Match Results'!$D$6:$D$149,$B75,'Match Results'!$E$6:$E$149,"League",'Match Results'!$I$6:$I$149,$D75,'Match Results'!$J$6:$J$149,"VALID")</f>
        <v>0</v>
      </c>
      <c r="F75" s="55">
        <f t="shared" si="6"/>
        <v>0</v>
      </c>
      <c r="G75" s="55">
        <f t="shared" si="7"/>
        <v>4</v>
      </c>
      <c r="H75" s="55" t="str">
        <f t="shared" si="8"/>
        <v/>
      </c>
      <c r="I75" s="56"/>
      <c r="J75" s="55">
        <f t="shared" si="9"/>
        <v>4</v>
      </c>
      <c r="K75" s="51" t="str">
        <f t="shared" si="10"/>
        <v>Badminton|Girls Doubles|B|4</v>
      </c>
    </row>
    <row r="76" spans="1:11">
      <c r="A76" s="53" t="s">
        <v>471</v>
      </c>
      <c r="B76" s="53" t="s">
        <v>475</v>
      </c>
      <c r="C76" s="53" t="s">
        <v>526</v>
      </c>
      <c r="D76" s="53" t="s">
        <v>47</v>
      </c>
      <c r="E76" s="55">
        <f>COUNTIFS('Match Results'!$C$6:$C$149,$A76,'Match Results'!$D$6:$D$149,$B76,'Match Results'!$E$6:$E$149,"League",'Match Results'!$I$6:$I$149,$D76,'Match Results'!$J$6:$J$149,"VALID")</f>
        <v>1</v>
      </c>
      <c r="F76" s="55">
        <f t="shared" si="6"/>
        <v>10</v>
      </c>
      <c r="G76" s="55">
        <f t="shared" si="7"/>
        <v>3</v>
      </c>
      <c r="H76" s="55" t="str">
        <f t="shared" si="8"/>
        <v/>
      </c>
      <c r="I76" s="56"/>
      <c r="J76" s="55">
        <f t="shared" si="9"/>
        <v>3</v>
      </c>
      <c r="K76" s="51" t="str">
        <f t="shared" si="10"/>
        <v>Badminton|Girls Doubles|B|3</v>
      </c>
    </row>
    <row r="77" spans="1:11">
      <c r="A77" s="53" t="s">
        <v>471</v>
      </c>
      <c r="B77" s="53" t="s">
        <v>475</v>
      </c>
      <c r="C77" s="53" t="s">
        <v>526</v>
      </c>
      <c r="D77" s="53" t="s">
        <v>48</v>
      </c>
      <c r="E77" s="55">
        <f>COUNTIFS('Match Results'!$C$6:$C$149,$A77,'Match Results'!$D$6:$D$149,$B77,'Match Results'!$E$6:$E$149,"League",'Match Results'!$I$6:$I$149,$D77,'Match Results'!$J$6:$J$149,"VALID")</f>
        <v>2</v>
      </c>
      <c r="F77" s="55">
        <f t="shared" si="6"/>
        <v>20</v>
      </c>
      <c r="G77" s="55">
        <f t="shared" si="7"/>
        <v>2</v>
      </c>
      <c r="H77" s="55" t="str">
        <f t="shared" si="8"/>
        <v/>
      </c>
      <c r="I77" s="56"/>
      <c r="J77" s="55">
        <f t="shared" si="9"/>
        <v>2</v>
      </c>
      <c r="K77" s="51" t="str">
        <f t="shared" si="10"/>
        <v>Badminton|Girls Doubles|B|2</v>
      </c>
    </row>
    <row r="78" spans="1:11">
      <c r="A78" s="53" t="s">
        <v>471</v>
      </c>
      <c r="B78" s="53" t="s">
        <v>475</v>
      </c>
      <c r="C78" s="53" t="s">
        <v>526</v>
      </c>
      <c r="D78" s="53" t="s">
        <v>49</v>
      </c>
      <c r="E78" s="55">
        <f>COUNTIFS('Match Results'!$C$6:$C$149,$A78,'Match Results'!$D$6:$D$149,$B78,'Match Results'!$E$6:$E$149,"League",'Match Results'!$I$6:$I$149,$D78,'Match Results'!$J$6:$J$149,"VALID")</f>
        <v>3</v>
      </c>
      <c r="F78" s="55">
        <f t="shared" si="6"/>
        <v>30</v>
      </c>
      <c r="G78" s="55">
        <f t="shared" si="7"/>
        <v>1</v>
      </c>
      <c r="H78" s="55" t="str">
        <f t="shared" si="8"/>
        <v/>
      </c>
      <c r="I78" s="56"/>
      <c r="J78" s="55">
        <f t="shared" si="9"/>
        <v>1</v>
      </c>
      <c r="K78" s="51" t="str">
        <f t="shared" si="10"/>
        <v>Badminton|Girls Doubles|B|1</v>
      </c>
    </row>
    <row r="79" spans="1:11">
      <c r="A79" s="53" t="s">
        <v>471</v>
      </c>
      <c r="B79" s="53" t="s">
        <v>477</v>
      </c>
      <c r="C79" s="53" t="s">
        <v>522</v>
      </c>
      <c r="D79" s="53" t="s">
        <v>42</v>
      </c>
      <c r="E79" s="55">
        <f>COUNTIFS('Match Results'!$C$6:$C$149,$A79,'Match Results'!$D$6:$D$149,$B79,'Match Results'!$E$6:$E$149,"League",'Match Results'!$I$6:$I$149,$D79,'Match Results'!$J$6:$J$149,"VALID")</f>
        <v>0</v>
      </c>
      <c r="F79" s="55">
        <f t="shared" si="6"/>
        <v>0</v>
      </c>
      <c r="G79" s="55">
        <f t="shared" si="7"/>
        <v>4</v>
      </c>
      <c r="H79" s="55" t="str">
        <f t="shared" si="8"/>
        <v/>
      </c>
      <c r="I79" s="56"/>
      <c r="J79" s="55">
        <f t="shared" si="9"/>
        <v>4</v>
      </c>
      <c r="K79" s="51" t="str">
        <f t="shared" si="10"/>
        <v>Badminton|Mixed Doubles|A|4</v>
      </c>
    </row>
    <row r="80" spans="1:11">
      <c r="A80" s="53" t="s">
        <v>471</v>
      </c>
      <c r="B80" s="53" t="s">
        <v>477</v>
      </c>
      <c r="C80" s="53" t="s">
        <v>522</v>
      </c>
      <c r="D80" s="53" t="s">
        <v>43</v>
      </c>
      <c r="E80" s="55">
        <f>COUNTIFS('Match Results'!$C$6:$C$149,$A80,'Match Results'!$D$6:$D$149,$B80,'Match Results'!$E$6:$E$149,"League",'Match Results'!$I$6:$I$149,$D80,'Match Results'!$J$6:$J$149,"VALID")</f>
        <v>1</v>
      </c>
      <c r="F80" s="55">
        <f t="shared" si="6"/>
        <v>10</v>
      </c>
      <c r="G80" s="55">
        <f t="shared" si="7"/>
        <v>3</v>
      </c>
      <c r="H80" s="55" t="str">
        <f t="shared" si="8"/>
        <v/>
      </c>
      <c r="I80" s="56"/>
      <c r="J80" s="55">
        <f t="shared" si="9"/>
        <v>3</v>
      </c>
      <c r="K80" s="51" t="str">
        <f t="shared" si="10"/>
        <v>Badminton|Mixed Doubles|A|3</v>
      </c>
    </row>
    <row r="81" spans="1:11">
      <c r="A81" s="53" t="s">
        <v>471</v>
      </c>
      <c r="B81" s="53" t="s">
        <v>477</v>
      </c>
      <c r="C81" s="53" t="s">
        <v>522</v>
      </c>
      <c r="D81" s="53" t="s">
        <v>44</v>
      </c>
      <c r="E81" s="55">
        <f>COUNTIFS('Match Results'!$C$6:$C$149,$A81,'Match Results'!$D$6:$D$149,$B81,'Match Results'!$E$6:$E$149,"League",'Match Results'!$I$6:$I$149,$D81,'Match Results'!$J$6:$J$149,"VALID")</f>
        <v>2</v>
      </c>
      <c r="F81" s="55">
        <f t="shared" si="6"/>
        <v>20</v>
      </c>
      <c r="G81" s="55">
        <f t="shared" si="7"/>
        <v>2</v>
      </c>
      <c r="H81" s="55" t="str">
        <f t="shared" si="8"/>
        <v/>
      </c>
      <c r="I81" s="56"/>
      <c r="J81" s="55">
        <f t="shared" si="9"/>
        <v>2</v>
      </c>
      <c r="K81" s="51" t="str">
        <f t="shared" si="10"/>
        <v>Badminton|Mixed Doubles|A|2</v>
      </c>
    </row>
    <row r="82" spans="1:11">
      <c r="A82" s="53" t="s">
        <v>471</v>
      </c>
      <c r="B82" s="53" t="s">
        <v>477</v>
      </c>
      <c r="C82" s="53" t="s">
        <v>522</v>
      </c>
      <c r="D82" s="53" t="s">
        <v>45</v>
      </c>
      <c r="E82" s="55">
        <f>COUNTIFS('Match Results'!$C$6:$C$149,$A82,'Match Results'!$D$6:$D$149,$B82,'Match Results'!$E$6:$E$149,"League",'Match Results'!$I$6:$I$149,$D82,'Match Results'!$J$6:$J$149,"VALID")</f>
        <v>3</v>
      </c>
      <c r="F82" s="55">
        <f t="shared" si="6"/>
        <v>30</v>
      </c>
      <c r="G82" s="55">
        <f t="shared" si="7"/>
        <v>1</v>
      </c>
      <c r="H82" s="55" t="str">
        <f t="shared" si="8"/>
        <v/>
      </c>
      <c r="I82" s="56"/>
      <c r="J82" s="55">
        <f t="shared" si="9"/>
        <v>1</v>
      </c>
      <c r="K82" s="51" t="str">
        <f t="shared" si="10"/>
        <v>Badminton|Mixed Doubles|A|1</v>
      </c>
    </row>
    <row r="83" spans="1:11">
      <c r="A83" s="53" t="s">
        <v>471</v>
      </c>
      <c r="B83" s="53" t="s">
        <v>477</v>
      </c>
      <c r="C83" s="53" t="s">
        <v>526</v>
      </c>
      <c r="D83" s="53" t="s">
        <v>46</v>
      </c>
      <c r="E83" s="55">
        <f>COUNTIFS('Match Results'!$C$6:$C$149,$A83,'Match Results'!$D$6:$D$149,$B83,'Match Results'!$E$6:$E$149,"League",'Match Results'!$I$6:$I$149,$D83,'Match Results'!$J$6:$J$149,"VALID")</f>
        <v>0</v>
      </c>
      <c r="F83" s="55">
        <f t="shared" si="6"/>
        <v>0</v>
      </c>
      <c r="G83" s="55">
        <f t="shared" si="7"/>
        <v>4</v>
      </c>
      <c r="H83" s="55" t="str">
        <f t="shared" si="8"/>
        <v/>
      </c>
      <c r="I83" s="56"/>
      <c r="J83" s="55">
        <f t="shared" si="9"/>
        <v>4</v>
      </c>
      <c r="K83" s="51" t="str">
        <f t="shared" si="10"/>
        <v>Badminton|Mixed Doubles|B|4</v>
      </c>
    </row>
    <row r="84" spans="1:11">
      <c r="A84" s="53" t="s">
        <v>471</v>
      </c>
      <c r="B84" s="53" t="s">
        <v>477</v>
      </c>
      <c r="C84" s="53" t="s">
        <v>526</v>
      </c>
      <c r="D84" s="53" t="s">
        <v>47</v>
      </c>
      <c r="E84" s="55">
        <f>COUNTIFS('Match Results'!$C$6:$C$149,$A84,'Match Results'!$D$6:$D$149,$B84,'Match Results'!$E$6:$E$149,"League",'Match Results'!$I$6:$I$149,$D84,'Match Results'!$J$6:$J$149,"VALID")</f>
        <v>1</v>
      </c>
      <c r="F84" s="55">
        <f t="shared" si="6"/>
        <v>10</v>
      </c>
      <c r="G84" s="55">
        <f t="shared" si="7"/>
        <v>3</v>
      </c>
      <c r="H84" s="55" t="str">
        <f t="shared" si="8"/>
        <v/>
      </c>
      <c r="I84" s="56"/>
      <c r="J84" s="55">
        <f t="shared" si="9"/>
        <v>3</v>
      </c>
      <c r="K84" s="51" t="str">
        <f t="shared" si="10"/>
        <v>Badminton|Mixed Doubles|B|3</v>
      </c>
    </row>
    <row r="85" spans="1:11">
      <c r="A85" s="53" t="s">
        <v>471</v>
      </c>
      <c r="B85" s="53" t="s">
        <v>477</v>
      </c>
      <c r="C85" s="53" t="s">
        <v>526</v>
      </c>
      <c r="D85" s="53" t="s">
        <v>48</v>
      </c>
      <c r="E85" s="55">
        <f>COUNTIFS('Match Results'!$C$6:$C$149,$A85,'Match Results'!$D$6:$D$149,$B85,'Match Results'!$E$6:$E$149,"League",'Match Results'!$I$6:$I$149,$D85,'Match Results'!$J$6:$J$149,"VALID")</f>
        <v>2</v>
      </c>
      <c r="F85" s="55">
        <f t="shared" si="6"/>
        <v>20</v>
      </c>
      <c r="G85" s="55">
        <f t="shared" si="7"/>
        <v>2</v>
      </c>
      <c r="H85" s="55" t="str">
        <f t="shared" si="8"/>
        <v/>
      </c>
      <c r="I85" s="56"/>
      <c r="J85" s="55">
        <f t="shared" si="9"/>
        <v>2</v>
      </c>
      <c r="K85" s="51" t="str">
        <f t="shared" si="10"/>
        <v>Badminton|Mixed Doubles|B|2</v>
      </c>
    </row>
    <row r="86" spans="1:11">
      <c r="A86" s="53" t="s">
        <v>471</v>
      </c>
      <c r="B86" s="53" t="s">
        <v>477</v>
      </c>
      <c r="C86" s="53" t="s">
        <v>526</v>
      </c>
      <c r="D86" s="53" t="s">
        <v>49</v>
      </c>
      <c r="E86" s="55">
        <f>COUNTIFS('Match Results'!$C$6:$C$149,$A86,'Match Results'!$D$6:$D$149,$B86,'Match Results'!$E$6:$E$149,"League",'Match Results'!$I$6:$I$149,$D86,'Match Results'!$J$6:$J$149,"VALID")</f>
        <v>3</v>
      </c>
      <c r="F86" s="55">
        <f t="shared" si="6"/>
        <v>30</v>
      </c>
      <c r="G86" s="55">
        <f t="shared" si="7"/>
        <v>1</v>
      </c>
      <c r="H86" s="55" t="str">
        <f t="shared" si="8"/>
        <v/>
      </c>
      <c r="I86" s="56"/>
      <c r="J86" s="55">
        <f t="shared" si="9"/>
        <v>1</v>
      </c>
      <c r="K86" s="51" t="str">
        <f t="shared" si="10"/>
        <v>Badminton|Mixed Doubles|B|1</v>
      </c>
    </row>
    <row r="87" spans="1:11">
      <c r="A87" s="53" t="s">
        <v>479</v>
      </c>
      <c r="B87" s="53" t="s">
        <v>472</v>
      </c>
      <c r="C87" s="53" t="s">
        <v>522</v>
      </c>
      <c r="D87" s="53" t="s">
        <v>42</v>
      </c>
      <c r="E87" s="55">
        <f>COUNTIFS('Match Results'!$C$6:$C$149,$A87,'Match Results'!$D$6:$D$149,$B87,'Match Results'!$E$6:$E$149,"League",'Match Results'!$I$6:$I$149,$D87,'Match Results'!$J$6:$J$149,"VALID")</f>
        <v>0</v>
      </c>
      <c r="F87" s="55">
        <f t="shared" ref="F87:F118" si="11">E87*10</f>
        <v>0</v>
      </c>
      <c r="G87" s="55">
        <f t="shared" ref="G87:G118" si="12">1+COUNTIFS($A$23:$A$118,$A87,$B$23:$B$118,$B87,$C$23:$C$118,$C87,$F$23:$F$118,"&gt;"&amp;$F87)+COUNTIFS($A$23:$A$118,$A87,$B$23:$B$118,$B87,$C$23:$C$118,$C87,$F$23:$F$118,$F87,$D$23:$D$118,"&lt;"&amp;$D87)</f>
        <v>4</v>
      </c>
      <c r="H87" s="55" t="str">
        <f t="shared" ref="H87:H118" si="13">IF(COUNTIFS($A$23:$A$118,$A87,$B$23:$B$118,$B87,$C$23:$C$118,$C87,$F$23:$F$118,$F87)&gt;1,"TIE - REVIEW","")</f>
        <v/>
      </c>
      <c r="I87" s="56"/>
      <c r="J87" s="55">
        <f t="shared" ref="J87:J118" si="14">IF(I87="",G87,I87)</f>
        <v>4</v>
      </c>
      <c r="K87" s="51" t="str">
        <f t="shared" ref="K87:K118" si="15">$A87&amp;"|"&amp;$B87&amp;"|"&amp;$C87&amp;"|"&amp;$J87</f>
        <v>Pickleball|Boys Doubles|A|4</v>
      </c>
    </row>
    <row r="88" spans="1:11">
      <c r="A88" s="53" t="s">
        <v>479</v>
      </c>
      <c r="B88" s="53" t="s">
        <v>472</v>
      </c>
      <c r="C88" s="53" t="s">
        <v>522</v>
      </c>
      <c r="D88" s="53" t="s">
        <v>43</v>
      </c>
      <c r="E88" s="55">
        <f>COUNTIFS('Match Results'!$C$6:$C$149,$A88,'Match Results'!$D$6:$D$149,$B88,'Match Results'!$E$6:$E$149,"League",'Match Results'!$I$6:$I$149,$D88,'Match Results'!$J$6:$J$149,"VALID")</f>
        <v>1</v>
      </c>
      <c r="F88" s="55">
        <f t="shared" si="11"/>
        <v>10</v>
      </c>
      <c r="G88" s="55">
        <f t="shared" si="12"/>
        <v>3</v>
      </c>
      <c r="H88" s="55" t="str">
        <f t="shared" si="13"/>
        <v/>
      </c>
      <c r="I88" s="56"/>
      <c r="J88" s="55">
        <f t="shared" si="14"/>
        <v>3</v>
      </c>
      <c r="K88" s="51" t="str">
        <f t="shared" si="15"/>
        <v>Pickleball|Boys Doubles|A|3</v>
      </c>
    </row>
    <row r="89" spans="1:11">
      <c r="A89" s="53" t="s">
        <v>479</v>
      </c>
      <c r="B89" s="53" t="s">
        <v>472</v>
      </c>
      <c r="C89" s="53" t="s">
        <v>522</v>
      </c>
      <c r="D89" s="53" t="s">
        <v>44</v>
      </c>
      <c r="E89" s="55">
        <f>COUNTIFS('Match Results'!$C$6:$C$149,$A89,'Match Results'!$D$6:$D$149,$B89,'Match Results'!$E$6:$E$149,"League",'Match Results'!$I$6:$I$149,$D89,'Match Results'!$J$6:$J$149,"VALID")</f>
        <v>2</v>
      </c>
      <c r="F89" s="55">
        <f t="shared" si="11"/>
        <v>20</v>
      </c>
      <c r="G89" s="55">
        <f t="shared" si="12"/>
        <v>2</v>
      </c>
      <c r="H89" s="55" t="str">
        <f t="shared" si="13"/>
        <v/>
      </c>
      <c r="I89" s="56"/>
      <c r="J89" s="55">
        <f t="shared" si="14"/>
        <v>2</v>
      </c>
      <c r="K89" s="51" t="str">
        <f t="shared" si="15"/>
        <v>Pickleball|Boys Doubles|A|2</v>
      </c>
    </row>
    <row r="90" spans="1:11">
      <c r="A90" s="53" t="s">
        <v>479</v>
      </c>
      <c r="B90" s="53" t="s">
        <v>472</v>
      </c>
      <c r="C90" s="53" t="s">
        <v>522</v>
      </c>
      <c r="D90" s="53" t="s">
        <v>45</v>
      </c>
      <c r="E90" s="55">
        <f>COUNTIFS('Match Results'!$C$6:$C$149,$A90,'Match Results'!$D$6:$D$149,$B90,'Match Results'!$E$6:$E$149,"League",'Match Results'!$I$6:$I$149,$D90,'Match Results'!$J$6:$J$149,"VALID")</f>
        <v>3</v>
      </c>
      <c r="F90" s="55">
        <f t="shared" si="11"/>
        <v>30</v>
      </c>
      <c r="G90" s="55">
        <f t="shared" si="12"/>
        <v>1</v>
      </c>
      <c r="H90" s="55" t="str">
        <f t="shared" si="13"/>
        <v/>
      </c>
      <c r="I90" s="56"/>
      <c r="J90" s="55">
        <f t="shared" si="14"/>
        <v>1</v>
      </c>
      <c r="K90" s="51" t="str">
        <f t="shared" si="15"/>
        <v>Pickleball|Boys Doubles|A|1</v>
      </c>
    </row>
    <row r="91" spans="1:11">
      <c r="A91" s="53" t="s">
        <v>479</v>
      </c>
      <c r="B91" s="53" t="s">
        <v>472</v>
      </c>
      <c r="C91" s="53" t="s">
        <v>526</v>
      </c>
      <c r="D91" s="53" t="s">
        <v>46</v>
      </c>
      <c r="E91" s="55">
        <f>COUNTIFS('Match Results'!$C$6:$C$149,$A91,'Match Results'!$D$6:$D$149,$B91,'Match Results'!$E$6:$E$149,"League",'Match Results'!$I$6:$I$149,$D91,'Match Results'!$J$6:$J$149,"VALID")</f>
        <v>0</v>
      </c>
      <c r="F91" s="55">
        <f t="shared" si="11"/>
        <v>0</v>
      </c>
      <c r="G91" s="55">
        <f t="shared" si="12"/>
        <v>4</v>
      </c>
      <c r="H91" s="55" t="str">
        <f t="shared" si="13"/>
        <v/>
      </c>
      <c r="I91" s="56"/>
      <c r="J91" s="55">
        <f t="shared" si="14"/>
        <v>4</v>
      </c>
      <c r="K91" s="51" t="str">
        <f t="shared" si="15"/>
        <v>Pickleball|Boys Doubles|B|4</v>
      </c>
    </row>
    <row r="92" spans="1:11">
      <c r="A92" s="53" t="s">
        <v>479</v>
      </c>
      <c r="B92" s="53" t="s">
        <v>472</v>
      </c>
      <c r="C92" s="53" t="s">
        <v>526</v>
      </c>
      <c r="D92" s="53" t="s">
        <v>47</v>
      </c>
      <c r="E92" s="55">
        <f>COUNTIFS('Match Results'!$C$6:$C$149,$A92,'Match Results'!$D$6:$D$149,$B92,'Match Results'!$E$6:$E$149,"League",'Match Results'!$I$6:$I$149,$D92,'Match Results'!$J$6:$J$149,"VALID")</f>
        <v>1</v>
      </c>
      <c r="F92" s="55">
        <f t="shared" si="11"/>
        <v>10</v>
      </c>
      <c r="G92" s="55">
        <f t="shared" si="12"/>
        <v>3</v>
      </c>
      <c r="H92" s="55" t="str">
        <f t="shared" si="13"/>
        <v/>
      </c>
      <c r="I92" s="56"/>
      <c r="J92" s="55">
        <f t="shared" si="14"/>
        <v>3</v>
      </c>
      <c r="K92" s="51" t="str">
        <f t="shared" si="15"/>
        <v>Pickleball|Boys Doubles|B|3</v>
      </c>
    </row>
    <row r="93" spans="1:11">
      <c r="A93" s="53" t="s">
        <v>479</v>
      </c>
      <c r="B93" s="53" t="s">
        <v>472</v>
      </c>
      <c r="C93" s="53" t="s">
        <v>526</v>
      </c>
      <c r="D93" s="53" t="s">
        <v>48</v>
      </c>
      <c r="E93" s="55">
        <f>COUNTIFS('Match Results'!$C$6:$C$149,$A93,'Match Results'!$D$6:$D$149,$B93,'Match Results'!$E$6:$E$149,"League",'Match Results'!$I$6:$I$149,$D93,'Match Results'!$J$6:$J$149,"VALID")</f>
        <v>2</v>
      </c>
      <c r="F93" s="55">
        <f t="shared" si="11"/>
        <v>20</v>
      </c>
      <c r="G93" s="55">
        <f t="shared" si="12"/>
        <v>2</v>
      </c>
      <c r="H93" s="55" t="str">
        <f t="shared" si="13"/>
        <v/>
      </c>
      <c r="I93" s="56"/>
      <c r="J93" s="55">
        <f t="shared" si="14"/>
        <v>2</v>
      </c>
      <c r="K93" s="51" t="str">
        <f t="shared" si="15"/>
        <v>Pickleball|Boys Doubles|B|2</v>
      </c>
    </row>
    <row r="94" spans="1:11">
      <c r="A94" s="53" t="s">
        <v>479</v>
      </c>
      <c r="B94" s="53" t="s">
        <v>472</v>
      </c>
      <c r="C94" s="53" t="s">
        <v>526</v>
      </c>
      <c r="D94" s="53" t="s">
        <v>49</v>
      </c>
      <c r="E94" s="55">
        <f>COUNTIFS('Match Results'!$C$6:$C$149,$A94,'Match Results'!$D$6:$D$149,$B94,'Match Results'!$E$6:$E$149,"League",'Match Results'!$I$6:$I$149,$D94,'Match Results'!$J$6:$J$149,"VALID")</f>
        <v>3</v>
      </c>
      <c r="F94" s="55">
        <f t="shared" si="11"/>
        <v>30</v>
      </c>
      <c r="G94" s="55">
        <f t="shared" si="12"/>
        <v>1</v>
      </c>
      <c r="H94" s="55" t="str">
        <f t="shared" si="13"/>
        <v/>
      </c>
      <c r="I94" s="56"/>
      <c r="J94" s="55">
        <f t="shared" si="14"/>
        <v>1</v>
      </c>
      <c r="K94" s="51" t="str">
        <f t="shared" si="15"/>
        <v>Pickleball|Boys Doubles|B|1</v>
      </c>
    </row>
    <row r="95" spans="1:11">
      <c r="A95" s="53" t="s">
        <v>479</v>
      </c>
      <c r="B95" s="53" t="s">
        <v>475</v>
      </c>
      <c r="C95" s="53" t="s">
        <v>522</v>
      </c>
      <c r="D95" s="53" t="s">
        <v>42</v>
      </c>
      <c r="E95" s="55">
        <f>COUNTIFS('Match Results'!$C$6:$C$149,$A95,'Match Results'!$D$6:$D$149,$B95,'Match Results'!$E$6:$E$149,"League",'Match Results'!$I$6:$I$149,$D95,'Match Results'!$J$6:$J$149,"VALID")</f>
        <v>0</v>
      </c>
      <c r="F95" s="55">
        <f t="shared" si="11"/>
        <v>0</v>
      </c>
      <c r="G95" s="55">
        <f t="shared" si="12"/>
        <v>4</v>
      </c>
      <c r="H95" s="55" t="str">
        <f t="shared" si="13"/>
        <v/>
      </c>
      <c r="I95" s="56"/>
      <c r="J95" s="55">
        <f t="shared" si="14"/>
        <v>4</v>
      </c>
      <c r="K95" s="51" t="str">
        <f t="shared" si="15"/>
        <v>Pickleball|Girls Doubles|A|4</v>
      </c>
    </row>
    <row r="96" spans="1:11">
      <c r="A96" s="53" t="s">
        <v>479</v>
      </c>
      <c r="B96" s="53" t="s">
        <v>475</v>
      </c>
      <c r="C96" s="53" t="s">
        <v>522</v>
      </c>
      <c r="D96" s="53" t="s">
        <v>43</v>
      </c>
      <c r="E96" s="55">
        <f>COUNTIFS('Match Results'!$C$6:$C$149,$A96,'Match Results'!$D$6:$D$149,$B96,'Match Results'!$E$6:$E$149,"League",'Match Results'!$I$6:$I$149,$D96,'Match Results'!$J$6:$J$149,"VALID")</f>
        <v>1</v>
      </c>
      <c r="F96" s="55">
        <f t="shared" si="11"/>
        <v>10</v>
      </c>
      <c r="G96" s="55">
        <f t="shared" si="12"/>
        <v>3</v>
      </c>
      <c r="H96" s="55" t="str">
        <f t="shared" si="13"/>
        <v/>
      </c>
      <c r="I96" s="56"/>
      <c r="J96" s="55">
        <f t="shared" si="14"/>
        <v>3</v>
      </c>
      <c r="K96" s="51" t="str">
        <f t="shared" si="15"/>
        <v>Pickleball|Girls Doubles|A|3</v>
      </c>
    </row>
    <row r="97" spans="1:11">
      <c r="A97" s="53" t="s">
        <v>479</v>
      </c>
      <c r="B97" s="53" t="s">
        <v>475</v>
      </c>
      <c r="C97" s="53" t="s">
        <v>522</v>
      </c>
      <c r="D97" s="53" t="s">
        <v>44</v>
      </c>
      <c r="E97" s="55">
        <f>COUNTIFS('Match Results'!$C$6:$C$149,$A97,'Match Results'!$D$6:$D$149,$B97,'Match Results'!$E$6:$E$149,"League",'Match Results'!$I$6:$I$149,$D97,'Match Results'!$J$6:$J$149,"VALID")</f>
        <v>2</v>
      </c>
      <c r="F97" s="55">
        <f t="shared" si="11"/>
        <v>20</v>
      </c>
      <c r="G97" s="55">
        <f t="shared" si="12"/>
        <v>2</v>
      </c>
      <c r="H97" s="55" t="str">
        <f t="shared" si="13"/>
        <v/>
      </c>
      <c r="I97" s="56"/>
      <c r="J97" s="55">
        <f t="shared" si="14"/>
        <v>2</v>
      </c>
      <c r="K97" s="51" t="str">
        <f t="shared" si="15"/>
        <v>Pickleball|Girls Doubles|A|2</v>
      </c>
    </row>
    <row r="98" spans="1:11">
      <c r="A98" s="53" t="s">
        <v>479</v>
      </c>
      <c r="B98" s="53" t="s">
        <v>475</v>
      </c>
      <c r="C98" s="53" t="s">
        <v>522</v>
      </c>
      <c r="D98" s="53" t="s">
        <v>45</v>
      </c>
      <c r="E98" s="55">
        <f>COUNTIFS('Match Results'!$C$6:$C$149,$A98,'Match Results'!$D$6:$D$149,$B98,'Match Results'!$E$6:$E$149,"League",'Match Results'!$I$6:$I$149,$D98,'Match Results'!$J$6:$J$149,"VALID")</f>
        <v>3</v>
      </c>
      <c r="F98" s="55">
        <f t="shared" si="11"/>
        <v>30</v>
      </c>
      <c r="G98" s="55">
        <f t="shared" si="12"/>
        <v>1</v>
      </c>
      <c r="H98" s="55" t="str">
        <f t="shared" si="13"/>
        <v/>
      </c>
      <c r="I98" s="56"/>
      <c r="J98" s="55">
        <f t="shared" si="14"/>
        <v>1</v>
      </c>
      <c r="K98" s="51" t="str">
        <f t="shared" si="15"/>
        <v>Pickleball|Girls Doubles|A|1</v>
      </c>
    </row>
    <row r="99" spans="1:11">
      <c r="A99" s="53" t="s">
        <v>479</v>
      </c>
      <c r="B99" s="53" t="s">
        <v>475</v>
      </c>
      <c r="C99" s="53" t="s">
        <v>526</v>
      </c>
      <c r="D99" s="53" t="s">
        <v>46</v>
      </c>
      <c r="E99" s="55">
        <f>COUNTIFS('Match Results'!$C$6:$C$149,$A99,'Match Results'!$D$6:$D$149,$B99,'Match Results'!$E$6:$E$149,"League",'Match Results'!$I$6:$I$149,$D99,'Match Results'!$J$6:$J$149,"VALID")</f>
        <v>0</v>
      </c>
      <c r="F99" s="55">
        <f t="shared" si="11"/>
        <v>0</v>
      </c>
      <c r="G99" s="55">
        <f t="shared" si="12"/>
        <v>4</v>
      </c>
      <c r="H99" s="55" t="str">
        <f t="shared" si="13"/>
        <v/>
      </c>
      <c r="I99" s="56"/>
      <c r="J99" s="55">
        <f t="shared" si="14"/>
        <v>4</v>
      </c>
      <c r="K99" s="51" t="str">
        <f t="shared" si="15"/>
        <v>Pickleball|Girls Doubles|B|4</v>
      </c>
    </row>
    <row r="100" spans="1:11">
      <c r="A100" s="53" t="s">
        <v>479</v>
      </c>
      <c r="B100" s="53" t="s">
        <v>475</v>
      </c>
      <c r="C100" s="53" t="s">
        <v>526</v>
      </c>
      <c r="D100" s="53" t="s">
        <v>47</v>
      </c>
      <c r="E100" s="55">
        <f>COUNTIFS('Match Results'!$C$6:$C$149,$A100,'Match Results'!$D$6:$D$149,$B100,'Match Results'!$E$6:$E$149,"League",'Match Results'!$I$6:$I$149,$D100,'Match Results'!$J$6:$J$149,"VALID")</f>
        <v>1</v>
      </c>
      <c r="F100" s="55">
        <f t="shared" si="11"/>
        <v>10</v>
      </c>
      <c r="G100" s="55">
        <f t="shared" si="12"/>
        <v>3</v>
      </c>
      <c r="H100" s="55" t="str">
        <f t="shared" si="13"/>
        <v/>
      </c>
      <c r="I100" s="56"/>
      <c r="J100" s="55">
        <f t="shared" si="14"/>
        <v>3</v>
      </c>
      <c r="K100" s="51" t="str">
        <f t="shared" si="15"/>
        <v>Pickleball|Girls Doubles|B|3</v>
      </c>
    </row>
    <row r="101" spans="1:11">
      <c r="A101" s="53" t="s">
        <v>479</v>
      </c>
      <c r="B101" s="53" t="s">
        <v>475</v>
      </c>
      <c r="C101" s="53" t="s">
        <v>526</v>
      </c>
      <c r="D101" s="53" t="s">
        <v>48</v>
      </c>
      <c r="E101" s="55">
        <f>COUNTIFS('Match Results'!$C$6:$C$149,$A101,'Match Results'!$D$6:$D$149,$B101,'Match Results'!$E$6:$E$149,"League",'Match Results'!$I$6:$I$149,$D101,'Match Results'!$J$6:$J$149,"VALID")</f>
        <v>2</v>
      </c>
      <c r="F101" s="55">
        <f t="shared" si="11"/>
        <v>20</v>
      </c>
      <c r="G101" s="55">
        <f t="shared" si="12"/>
        <v>2</v>
      </c>
      <c r="H101" s="55" t="str">
        <f t="shared" si="13"/>
        <v/>
      </c>
      <c r="I101" s="56"/>
      <c r="J101" s="55">
        <f t="shared" si="14"/>
        <v>2</v>
      </c>
      <c r="K101" s="51" t="str">
        <f t="shared" si="15"/>
        <v>Pickleball|Girls Doubles|B|2</v>
      </c>
    </row>
    <row r="102" spans="1:11">
      <c r="A102" s="53" t="s">
        <v>479</v>
      </c>
      <c r="B102" s="53" t="s">
        <v>475</v>
      </c>
      <c r="C102" s="53" t="s">
        <v>526</v>
      </c>
      <c r="D102" s="53" t="s">
        <v>49</v>
      </c>
      <c r="E102" s="55">
        <f>COUNTIFS('Match Results'!$C$6:$C$149,$A102,'Match Results'!$D$6:$D$149,$B102,'Match Results'!$E$6:$E$149,"League",'Match Results'!$I$6:$I$149,$D102,'Match Results'!$J$6:$J$149,"VALID")</f>
        <v>3</v>
      </c>
      <c r="F102" s="55">
        <f t="shared" si="11"/>
        <v>30</v>
      </c>
      <c r="G102" s="55">
        <f t="shared" si="12"/>
        <v>1</v>
      </c>
      <c r="H102" s="55" t="str">
        <f t="shared" si="13"/>
        <v/>
      </c>
      <c r="I102" s="56"/>
      <c r="J102" s="55">
        <f t="shared" si="14"/>
        <v>1</v>
      </c>
      <c r="K102" s="51" t="str">
        <f t="shared" si="15"/>
        <v>Pickleball|Girls Doubles|B|1</v>
      </c>
    </row>
    <row r="103" spans="1:11">
      <c r="A103" s="53" t="s">
        <v>479</v>
      </c>
      <c r="B103" s="53" t="s">
        <v>477</v>
      </c>
      <c r="C103" s="53" t="s">
        <v>522</v>
      </c>
      <c r="D103" s="53" t="s">
        <v>42</v>
      </c>
      <c r="E103" s="55">
        <f>COUNTIFS('Match Results'!$C$6:$C$149,$A103,'Match Results'!$D$6:$D$149,$B103,'Match Results'!$E$6:$E$149,"League",'Match Results'!$I$6:$I$149,$D103,'Match Results'!$J$6:$J$149,"VALID")</f>
        <v>0</v>
      </c>
      <c r="F103" s="55">
        <f t="shared" si="11"/>
        <v>0</v>
      </c>
      <c r="G103" s="55">
        <f t="shared" si="12"/>
        <v>4</v>
      </c>
      <c r="H103" s="55" t="str">
        <f t="shared" si="13"/>
        <v/>
      </c>
      <c r="I103" s="56"/>
      <c r="J103" s="55">
        <f t="shared" si="14"/>
        <v>4</v>
      </c>
      <c r="K103" s="51" t="str">
        <f t="shared" si="15"/>
        <v>Pickleball|Mixed Doubles|A|4</v>
      </c>
    </row>
    <row r="104" spans="1:11">
      <c r="A104" s="53" t="s">
        <v>479</v>
      </c>
      <c r="B104" s="53" t="s">
        <v>477</v>
      </c>
      <c r="C104" s="53" t="s">
        <v>522</v>
      </c>
      <c r="D104" s="53" t="s">
        <v>43</v>
      </c>
      <c r="E104" s="55">
        <f>COUNTIFS('Match Results'!$C$6:$C$149,$A104,'Match Results'!$D$6:$D$149,$B104,'Match Results'!$E$6:$E$149,"League",'Match Results'!$I$6:$I$149,$D104,'Match Results'!$J$6:$J$149,"VALID")</f>
        <v>1</v>
      </c>
      <c r="F104" s="55">
        <f t="shared" si="11"/>
        <v>10</v>
      </c>
      <c r="G104" s="55">
        <f t="shared" si="12"/>
        <v>3</v>
      </c>
      <c r="H104" s="55" t="str">
        <f t="shared" si="13"/>
        <v/>
      </c>
      <c r="I104" s="56"/>
      <c r="J104" s="55">
        <f t="shared" si="14"/>
        <v>3</v>
      </c>
      <c r="K104" s="51" t="str">
        <f t="shared" si="15"/>
        <v>Pickleball|Mixed Doubles|A|3</v>
      </c>
    </row>
    <row r="105" spans="1:11">
      <c r="A105" s="53" t="s">
        <v>479</v>
      </c>
      <c r="B105" s="53" t="s">
        <v>477</v>
      </c>
      <c r="C105" s="53" t="s">
        <v>522</v>
      </c>
      <c r="D105" s="53" t="s">
        <v>44</v>
      </c>
      <c r="E105" s="55">
        <f>COUNTIFS('Match Results'!$C$6:$C$149,$A105,'Match Results'!$D$6:$D$149,$B105,'Match Results'!$E$6:$E$149,"League",'Match Results'!$I$6:$I$149,$D105,'Match Results'!$J$6:$J$149,"VALID")</f>
        <v>2</v>
      </c>
      <c r="F105" s="55">
        <f t="shared" si="11"/>
        <v>20</v>
      </c>
      <c r="G105" s="55">
        <f t="shared" si="12"/>
        <v>2</v>
      </c>
      <c r="H105" s="55" t="str">
        <f t="shared" si="13"/>
        <v/>
      </c>
      <c r="I105" s="56"/>
      <c r="J105" s="55">
        <f t="shared" si="14"/>
        <v>2</v>
      </c>
      <c r="K105" s="51" t="str">
        <f t="shared" si="15"/>
        <v>Pickleball|Mixed Doubles|A|2</v>
      </c>
    </row>
    <row r="106" spans="1:11">
      <c r="A106" s="53" t="s">
        <v>479</v>
      </c>
      <c r="B106" s="53" t="s">
        <v>477</v>
      </c>
      <c r="C106" s="53" t="s">
        <v>522</v>
      </c>
      <c r="D106" s="53" t="s">
        <v>45</v>
      </c>
      <c r="E106" s="55">
        <f>COUNTIFS('Match Results'!$C$6:$C$149,$A106,'Match Results'!$D$6:$D$149,$B106,'Match Results'!$E$6:$E$149,"League",'Match Results'!$I$6:$I$149,$D106,'Match Results'!$J$6:$J$149,"VALID")</f>
        <v>3</v>
      </c>
      <c r="F106" s="55">
        <f t="shared" si="11"/>
        <v>30</v>
      </c>
      <c r="G106" s="55">
        <f t="shared" si="12"/>
        <v>1</v>
      </c>
      <c r="H106" s="55" t="str">
        <f t="shared" si="13"/>
        <v/>
      </c>
      <c r="I106" s="56"/>
      <c r="J106" s="55">
        <f t="shared" si="14"/>
        <v>1</v>
      </c>
      <c r="K106" s="51" t="str">
        <f t="shared" si="15"/>
        <v>Pickleball|Mixed Doubles|A|1</v>
      </c>
    </row>
    <row r="107" spans="1:11">
      <c r="A107" s="53" t="s">
        <v>479</v>
      </c>
      <c r="B107" s="53" t="s">
        <v>477</v>
      </c>
      <c r="C107" s="53" t="s">
        <v>526</v>
      </c>
      <c r="D107" s="53" t="s">
        <v>46</v>
      </c>
      <c r="E107" s="55">
        <f>COUNTIFS('Match Results'!$C$6:$C$149,$A107,'Match Results'!$D$6:$D$149,$B107,'Match Results'!$E$6:$E$149,"League",'Match Results'!$I$6:$I$149,$D107,'Match Results'!$J$6:$J$149,"VALID")</f>
        <v>0</v>
      </c>
      <c r="F107" s="55">
        <f t="shared" si="11"/>
        <v>0</v>
      </c>
      <c r="G107" s="55">
        <f t="shared" si="12"/>
        <v>4</v>
      </c>
      <c r="H107" s="55" t="str">
        <f t="shared" si="13"/>
        <v/>
      </c>
      <c r="I107" s="56"/>
      <c r="J107" s="55">
        <f t="shared" si="14"/>
        <v>4</v>
      </c>
      <c r="K107" s="51" t="str">
        <f t="shared" si="15"/>
        <v>Pickleball|Mixed Doubles|B|4</v>
      </c>
    </row>
    <row r="108" spans="1:11">
      <c r="A108" s="53" t="s">
        <v>479</v>
      </c>
      <c r="B108" s="53" t="s">
        <v>477</v>
      </c>
      <c r="C108" s="53" t="s">
        <v>526</v>
      </c>
      <c r="D108" s="53" t="s">
        <v>47</v>
      </c>
      <c r="E108" s="55">
        <f>COUNTIFS('Match Results'!$C$6:$C$149,$A108,'Match Results'!$D$6:$D$149,$B108,'Match Results'!$E$6:$E$149,"League",'Match Results'!$I$6:$I$149,$D108,'Match Results'!$J$6:$J$149,"VALID")</f>
        <v>1</v>
      </c>
      <c r="F108" s="55">
        <f t="shared" si="11"/>
        <v>10</v>
      </c>
      <c r="G108" s="55">
        <f t="shared" si="12"/>
        <v>3</v>
      </c>
      <c r="H108" s="55" t="str">
        <f t="shared" si="13"/>
        <v/>
      </c>
      <c r="I108" s="56"/>
      <c r="J108" s="55">
        <f t="shared" si="14"/>
        <v>3</v>
      </c>
      <c r="K108" s="51" t="str">
        <f t="shared" si="15"/>
        <v>Pickleball|Mixed Doubles|B|3</v>
      </c>
    </row>
    <row r="109" spans="1:11">
      <c r="A109" s="53" t="s">
        <v>479</v>
      </c>
      <c r="B109" s="53" t="s">
        <v>477</v>
      </c>
      <c r="C109" s="53" t="s">
        <v>526</v>
      </c>
      <c r="D109" s="53" t="s">
        <v>48</v>
      </c>
      <c r="E109" s="55">
        <f>COUNTIFS('Match Results'!$C$6:$C$149,$A109,'Match Results'!$D$6:$D$149,$B109,'Match Results'!$E$6:$E$149,"League",'Match Results'!$I$6:$I$149,$D109,'Match Results'!$J$6:$J$149,"VALID")</f>
        <v>2</v>
      </c>
      <c r="F109" s="55">
        <f t="shared" si="11"/>
        <v>20</v>
      </c>
      <c r="G109" s="55">
        <f t="shared" si="12"/>
        <v>2</v>
      </c>
      <c r="H109" s="55" t="str">
        <f t="shared" si="13"/>
        <v/>
      </c>
      <c r="I109" s="56"/>
      <c r="J109" s="55">
        <f t="shared" si="14"/>
        <v>2</v>
      </c>
      <c r="K109" s="51" t="str">
        <f t="shared" si="15"/>
        <v>Pickleball|Mixed Doubles|B|2</v>
      </c>
    </row>
    <row r="110" spans="1:11">
      <c r="A110" s="53" t="s">
        <v>479</v>
      </c>
      <c r="B110" s="53" t="s">
        <v>477</v>
      </c>
      <c r="C110" s="53" t="s">
        <v>526</v>
      </c>
      <c r="D110" s="53" t="s">
        <v>49</v>
      </c>
      <c r="E110" s="55">
        <f>COUNTIFS('Match Results'!$C$6:$C$149,$A110,'Match Results'!$D$6:$D$149,$B110,'Match Results'!$E$6:$E$149,"League",'Match Results'!$I$6:$I$149,$D110,'Match Results'!$J$6:$J$149,"VALID")</f>
        <v>3</v>
      </c>
      <c r="F110" s="55">
        <f t="shared" si="11"/>
        <v>30</v>
      </c>
      <c r="G110" s="55">
        <f t="shared" si="12"/>
        <v>1</v>
      </c>
      <c r="H110" s="55" t="str">
        <f t="shared" si="13"/>
        <v/>
      </c>
      <c r="I110" s="56"/>
      <c r="J110" s="55">
        <f t="shared" si="14"/>
        <v>1</v>
      </c>
      <c r="K110" s="51" t="str">
        <f t="shared" si="15"/>
        <v>Pickleball|Mixed Doubles|B|1</v>
      </c>
    </row>
    <row r="111" spans="1:11">
      <c r="A111" s="53" t="s">
        <v>490</v>
      </c>
      <c r="B111" s="53" t="s">
        <v>491</v>
      </c>
      <c r="C111" s="53" t="s">
        <v>522</v>
      </c>
      <c r="D111" s="53" t="s">
        <v>42</v>
      </c>
      <c r="E111" s="55">
        <f>COUNTIFS('Match Results'!$C$6:$C$149,$A111,'Match Results'!$D$6:$D$149,$B111,'Match Results'!$E$6:$E$149,"League",'Match Results'!$I$6:$I$149,$D111,'Match Results'!$J$6:$J$149,"VALID")</f>
        <v>0</v>
      </c>
      <c r="F111" s="55">
        <f t="shared" si="11"/>
        <v>0</v>
      </c>
      <c r="G111" s="55">
        <f t="shared" si="12"/>
        <v>4</v>
      </c>
      <c r="H111" s="55" t="str">
        <f t="shared" si="13"/>
        <v/>
      </c>
      <c r="I111" s="56"/>
      <c r="J111" s="55">
        <f t="shared" si="14"/>
        <v>4</v>
      </c>
      <c r="K111" s="51" t="str">
        <f t="shared" si="15"/>
        <v>Football|Boys|A|4</v>
      </c>
    </row>
    <row r="112" spans="1:11">
      <c r="A112" s="53" t="s">
        <v>490</v>
      </c>
      <c r="B112" s="53" t="s">
        <v>491</v>
      </c>
      <c r="C112" s="53" t="s">
        <v>522</v>
      </c>
      <c r="D112" s="53" t="s">
        <v>43</v>
      </c>
      <c r="E112" s="55">
        <f>COUNTIFS('Match Results'!$C$6:$C$149,$A112,'Match Results'!$D$6:$D$149,$B112,'Match Results'!$E$6:$E$149,"League",'Match Results'!$I$6:$I$149,$D112,'Match Results'!$J$6:$J$149,"VALID")</f>
        <v>1</v>
      </c>
      <c r="F112" s="55">
        <f t="shared" si="11"/>
        <v>10</v>
      </c>
      <c r="G112" s="55">
        <f t="shared" si="12"/>
        <v>3</v>
      </c>
      <c r="H112" s="55" t="str">
        <f t="shared" si="13"/>
        <v/>
      </c>
      <c r="I112" s="56"/>
      <c r="J112" s="55">
        <f t="shared" si="14"/>
        <v>3</v>
      </c>
      <c r="K112" s="51" t="str">
        <f t="shared" si="15"/>
        <v>Football|Boys|A|3</v>
      </c>
    </row>
    <row r="113" spans="1:11">
      <c r="A113" s="53" t="s">
        <v>490</v>
      </c>
      <c r="B113" s="53" t="s">
        <v>491</v>
      </c>
      <c r="C113" s="53" t="s">
        <v>522</v>
      </c>
      <c r="D113" s="53" t="s">
        <v>44</v>
      </c>
      <c r="E113" s="55">
        <f>COUNTIFS('Match Results'!$C$6:$C$149,$A113,'Match Results'!$D$6:$D$149,$B113,'Match Results'!$E$6:$E$149,"League",'Match Results'!$I$6:$I$149,$D113,'Match Results'!$J$6:$J$149,"VALID")</f>
        <v>2</v>
      </c>
      <c r="F113" s="55">
        <f t="shared" si="11"/>
        <v>20</v>
      </c>
      <c r="G113" s="55">
        <f t="shared" si="12"/>
        <v>2</v>
      </c>
      <c r="H113" s="55" t="str">
        <f t="shared" si="13"/>
        <v/>
      </c>
      <c r="I113" s="56"/>
      <c r="J113" s="55">
        <f t="shared" si="14"/>
        <v>2</v>
      </c>
      <c r="K113" s="51" t="str">
        <f t="shared" si="15"/>
        <v>Football|Boys|A|2</v>
      </c>
    </row>
    <row r="114" spans="1:11">
      <c r="A114" s="53" t="s">
        <v>490</v>
      </c>
      <c r="B114" s="53" t="s">
        <v>491</v>
      </c>
      <c r="C114" s="53" t="s">
        <v>522</v>
      </c>
      <c r="D114" s="53" t="s">
        <v>45</v>
      </c>
      <c r="E114" s="55">
        <f>COUNTIFS('Match Results'!$C$6:$C$149,$A114,'Match Results'!$D$6:$D$149,$B114,'Match Results'!$E$6:$E$149,"League",'Match Results'!$I$6:$I$149,$D114,'Match Results'!$J$6:$J$149,"VALID")</f>
        <v>3</v>
      </c>
      <c r="F114" s="55">
        <f t="shared" si="11"/>
        <v>30</v>
      </c>
      <c r="G114" s="55">
        <f t="shared" si="12"/>
        <v>1</v>
      </c>
      <c r="H114" s="55" t="str">
        <f t="shared" si="13"/>
        <v/>
      </c>
      <c r="I114" s="56"/>
      <c r="J114" s="55">
        <f t="shared" si="14"/>
        <v>1</v>
      </c>
      <c r="K114" s="51" t="str">
        <f t="shared" si="15"/>
        <v>Football|Boys|A|1</v>
      </c>
    </row>
    <row r="115" spans="1:11">
      <c r="A115" s="53" t="s">
        <v>490</v>
      </c>
      <c r="B115" s="53" t="s">
        <v>491</v>
      </c>
      <c r="C115" s="53" t="s">
        <v>526</v>
      </c>
      <c r="D115" s="53" t="s">
        <v>46</v>
      </c>
      <c r="E115" s="55">
        <f>COUNTIFS('Match Results'!$C$6:$C$149,$A115,'Match Results'!$D$6:$D$149,$B115,'Match Results'!$E$6:$E$149,"League",'Match Results'!$I$6:$I$149,$D115,'Match Results'!$J$6:$J$149,"VALID")</f>
        <v>0</v>
      </c>
      <c r="F115" s="55">
        <f t="shared" si="11"/>
        <v>0</v>
      </c>
      <c r="G115" s="55">
        <f t="shared" si="12"/>
        <v>4</v>
      </c>
      <c r="H115" s="55" t="str">
        <f t="shared" si="13"/>
        <v/>
      </c>
      <c r="I115" s="56"/>
      <c r="J115" s="55">
        <f t="shared" si="14"/>
        <v>4</v>
      </c>
      <c r="K115" s="51" t="str">
        <f t="shared" si="15"/>
        <v>Football|Boys|B|4</v>
      </c>
    </row>
    <row r="116" spans="1:11">
      <c r="A116" s="53" t="s">
        <v>490</v>
      </c>
      <c r="B116" s="53" t="s">
        <v>491</v>
      </c>
      <c r="C116" s="53" t="s">
        <v>526</v>
      </c>
      <c r="D116" s="53" t="s">
        <v>47</v>
      </c>
      <c r="E116" s="55">
        <f>COUNTIFS('Match Results'!$C$6:$C$149,$A116,'Match Results'!$D$6:$D$149,$B116,'Match Results'!$E$6:$E$149,"League",'Match Results'!$I$6:$I$149,$D116,'Match Results'!$J$6:$J$149,"VALID")</f>
        <v>1</v>
      </c>
      <c r="F116" s="55">
        <f t="shared" si="11"/>
        <v>10</v>
      </c>
      <c r="G116" s="55">
        <f t="shared" si="12"/>
        <v>3</v>
      </c>
      <c r="H116" s="55" t="str">
        <f t="shared" si="13"/>
        <v/>
      </c>
      <c r="I116" s="56"/>
      <c r="J116" s="55">
        <f t="shared" si="14"/>
        <v>3</v>
      </c>
      <c r="K116" s="51" t="str">
        <f t="shared" si="15"/>
        <v>Football|Boys|B|3</v>
      </c>
    </row>
    <row r="117" spans="1:11">
      <c r="A117" s="53" t="s">
        <v>490</v>
      </c>
      <c r="B117" s="53" t="s">
        <v>491</v>
      </c>
      <c r="C117" s="53" t="s">
        <v>526</v>
      </c>
      <c r="D117" s="53" t="s">
        <v>48</v>
      </c>
      <c r="E117" s="55">
        <f>COUNTIFS('Match Results'!$C$6:$C$149,$A117,'Match Results'!$D$6:$D$149,$B117,'Match Results'!$E$6:$E$149,"League",'Match Results'!$I$6:$I$149,$D117,'Match Results'!$J$6:$J$149,"VALID")</f>
        <v>2</v>
      </c>
      <c r="F117" s="55">
        <f t="shared" si="11"/>
        <v>20</v>
      </c>
      <c r="G117" s="55">
        <f t="shared" si="12"/>
        <v>2</v>
      </c>
      <c r="H117" s="55" t="str">
        <f t="shared" si="13"/>
        <v/>
      </c>
      <c r="I117" s="56"/>
      <c r="J117" s="55">
        <f t="shared" si="14"/>
        <v>2</v>
      </c>
      <c r="K117" s="51" t="str">
        <f t="shared" si="15"/>
        <v>Football|Boys|B|2</v>
      </c>
    </row>
    <row r="118" spans="1:11">
      <c r="A118" s="53" t="s">
        <v>490</v>
      </c>
      <c r="B118" s="53" t="s">
        <v>491</v>
      </c>
      <c r="C118" s="53" t="s">
        <v>526</v>
      </c>
      <c r="D118" s="53" t="s">
        <v>49</v>
      </c>
      <c r="E118" s="55">
        <f>COUNTIFS('Match Results'!$C$6:$C$149,$A118,'Match Results'!$D$6:$D$149,$B118,'Match Results'!$E$6:$E$149,"League",'Match Results'!$I$6:$I$149,$D118,'Match Results'!$J$6:$J$149,"VALID")</f>
        <v>3</v>
      </c>
      <c r="F118" s="55">
        <f t="shared" si="11"/>
        <v>30</v>
      </c>
      <c r="G118" s="55">
        <f t="shared" si="12"/>
        <v>1</v>
      </c>
      <c r="H118" s="55" t="str">
        <f t="shared" si="13"/>
        <v/>
      </c>
      <c r="I118" s="56"/>
      <c r="J118" s="55">
        <f t="shared" si="14"/>
        <v>1</v>
      </c>
      <c r="K118" s="51" t="str">
        <f t="shared" si="15"/>
        <v>Football|Boys|B|1</v>
      </c>
    </row>
  </sheetData>
  <mergeCells count="3">
    <mergeCell ref="A1:G1"/>
    <mergeCell ref="A3:G3"/>
    <mergeCell ref="A20:J20"/>
  </mergeCells>
  <conditionalFormatting sqref="A6:G17">
    <cfRule type="expression" dxfId="1" priority="1">
      <formula>$G6="TIE - REVIEW"</formula>
    </cfRule>
  </conditionalFormatting>
  <conditionalFormatting sqref="H23:H118">
    <cfRule type="containsText" dxfId="0" priority="2" operator="containsText" text="TIE - REVIEW"/>
  </conditionalFormatting>
  <dataValidations count="1">
    <dataValidation type="whole" sqref="I23:I118" xr:uid="{00000000-0002-0000-0600-000000000000}">
      <formula1>1</formula1>
      <formula2>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Dashboard</vt:lpstr>
      <vt:lpstr>Team Rosters</vt:lpstr>
      <vt:lpstr>Match Results</vt:lpstr>
      <vt:lpstr>Player Usage</vt:lpstr>
      <vt:lpstr>Schedule</vt:lpstr>
      <vt:lpstr>Qualifiers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Agarwal</dc:creator>
  <cp:lastModifiedBy>Ritesh Agarwal</cp:lastModifiedBy>
  <dcterms:created xsi:type="dcterms:W3CDTF">2026-09-21T11:04:58Z</dcterms:created>
  <dcterms:modified xsi:type="dcterms:W3CDTF">2026-09-21T11:04:58Z</dcterms:modified>
</cp:coreProperties>
</file>